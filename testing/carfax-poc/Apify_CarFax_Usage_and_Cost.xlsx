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ishoreP\Downloads\drive-deal-dsu-dev\drive-deal-dsu\testing\carfax-poc\"/>
    </mc:Choice>
  </mc:AlternateContent>
  <xr:revisionPtr revIDLastSave="0" documentId="13_ncr:1_{B170A512-D766-4567-BED8-F619F39F761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verview" sheetId="1" r:id="rId1"/>
    <sheet name="Cost Calculat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2" l="1"/>
  <c r="B35" i="2"/>
  <c r="C35" i="2" s="1"/>
  <c r="D35" i="2" s="1"/>
  <c r="E34" i="2"/>
  <c r="B34" i="2"/>
  <c r="C34" i="2" s="1"/>
  <c r="D34" i="2" s="1"/>
  <c r="E33" i="2"/>
  <c r="B33" i="2"/>
  <c r="C33" i="2" s="1"/>
  <c r="D33" i="2" s="1"/>
  <c r="E32" i="2"/>
  <c r="B32" i="2"/>
  <c r="C32" i="2" s="1"/>
  <c r="D32" i="2" s="1"/>
  <c r="E31" i="2"/>
  <c r="B31" i="2"/>
  <c r="C31" i="2" s="1"/>
  <c r="D31" i="2" s="1"/>
  <c r="E30" i="2"/>
  <c r="B30" i="2"/>
  <c r="C30" i="2" s="1"/>
  <c r="D30" i="2" s="1"/>
  <c r="B25" i="2"/>
  <c r="B22" i="2"/>
  <c r="B19" i="2"/>
  <c r="B18" i="2"/>
  <c r="B17" i="2"/>
  <c r="B20" i="2" l="1"/>
  <c r="B23" i="2" l="1"/>
  <c r="B24" i="2" s="1"/>
  <c r="B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Apify charges one start event per GB of run memory.</t>
        </r>
      </text>
    </comment>
  </commentList>
</comments>
</file>

<file path=xl/sharedStrings.xml><?xml version="1.0" encoding="utf-8"?>
<sst xmlns="http://schemas.openxmlformats.org/spreadsheetml/2006/main" count="88" uniqueCount="84">
  <si>
    <t>Apify CarFax Scraper - Usage Guide</t>
  </si>
  <si>
    <t>Actor: lexis-solutions/carfax-com  |  Tested 2026-10-08 with VIN 1FAGP8FF9T5117173</t>
  </si>
  <si>
    <t>WHAT IT IS</t>
  </si>
  <si>
    <t>Service</t>
  </si>
  <si>
    <t>Third-party Apify actor that reads public CarFax used-car listing pages (carfax.com/vehicle/&lt;VIN&gt;).</t>
  </si>
  <si>
    <t>Input</t>
  </si>
  <si>
    <t>One VIN, a list of VINs, or full CarFax listing URLs. Or search mode: zipcode plus filters (make, model, year, price, mileage, body style, fuel, colors, features, history flags).</t>
  </si>
  <si>
    <t>Output</t>
  </si>
  <si>
    <t>One JSON record per car (about 120 fields): title, VIN, price, price history, payment estimate, mileage, colors, engine, transmission, drivetrain, MPG, options/features, description, 25 photo URLs, dealer name/address/phone/rating, owner history, accident history, service history, vehicle use.</t>
  </si>
  <si>
    <t>CAN DO</t>
  </si>
  <si>
    <t>VIN lookup</t>
  </si>
  <si>
    <t>Full listing data for any car currently listed for sale on CarFax.</t>
  </si>
  <si>
    <t>Batch lookup</t>
  </si>
  <si>
    <t>Many VINs in one run - cheaper per car because the start fee is paid once.</t>
  </si>
  <si>
    <t>Search</t>
  </si>
  <si>
    <t>Find listings by zipcode and filters, capped with maxItems.</t>
  </si>
  <si>
    <t>Photos</t>
  </si>
  <si>
    <t>About 25 photos per car. Actor gives 344x258 thumbnails; our script upgrades them to 1024x768 (largest size CarFax serves).</t>
  </si>
  <si>
    <t>History summary</t>
  </si>
  <si>
    <t>Owner count and dates, accident yes/no, service visits, personal/commercial use.</t>
  </si>
  <si>
    <t>CAN'T DO</t>
  </si>
  <si>
    <t>Full history report</t>
  </si>
  <si>
    <t>Not the paid CarFax report - only the summary shown on the listing page.</t>
  </si>
  <si>
    <t>Sold / unlisted cars</t>
  </si>
  <si>
    <t>VINs not currently listed for sale on CarFax will most likely return nothing.</t>
  </si>
  <si>
    <t>Images &gt; 1024x768</t>
  </si>
  <si>
    <t>1600x1200 and above are refused (HTTP 403) by the CarFax image server.</t>
  </si>
  <si>
    <t>VIN + filters together</t>
  </si>
  <si>
    <t>When VINs are given, all search filters are ignored.</t>
  </si>
  <si>
    <t>Site changes</t>
  </si>
  <si>
    <t>If CarFax changes its website, the actor can break until its developer fixes it.</t>
  </si>
  <si>
    <t>COST IN ONE LINE</t>
  </si>
  <si>
    <t>Single VIN</t>
  </si>
  <si>
    <t>About $0.0155 per lookup at 1 GB memory (measured). See the Cost Calculator sheet to model your volume.</t>
  </si>
  <si>
    <t>Biggest saving</t>
  </si>
  <si>
    <t>Run memory: the actor charges $0.005 per GB at start. Default 4 GB = $0.02; our script sets 1 GB = $0.005. Same data.</t>
  </si>
  <si>
    <t>Legal note</t>
  </si>
  <si>
    <t>CarFax terms restrict automated access. Fine for internal lookups; review before using at scale in a public product.</t>
  </si>
  <si>
    <t>Apify CarFax - Cost per Request</t>
  </si>
  <si>
    <t>Blue = input values. Yellow = change these to model your own usage. Black = formulas.</t>
  </si>
  <si>
    <t>PRICING INPUTS (Free plan)</t>
  </si>
  <si>
    <t>Actor start fee per GB of memory</t>
  </si>
  <si>
    <t>Source: Apify run record, event 'apify-actor-start' ($0.005 per GB, min 1).</t>
  </si>
  <si>
    <t>Run memory (GB)</t>
  </si>
  <si>
    <t>Our script sets 1 GB. Apify default is 4 GB (= 4 start events).</t>
  </si>
  <si>
    <t>Result fee per car</t>
  </si>
  <si>
    <t>Source: Apify run record, event 'apify-default-dataset-item' on Free plan. Advertised 'from $6.85/1,000' is the discounted top-tier rate.</t>
  </si>
  <si>
    <t>Platform compute per run</t>
  </si>
  <si>
    <t>Measured: $0.00048 for a 1-VIN, 1 GB, 11.7 s run. Larger batches run longer - not yet measured.</t>
  </si>
  <si>
    <t>Free monthly Apify credit</t>
  </si>
  <si>
    <t>Source: apify.com/pricing, Free plan.</t>
  </si>
  <si>
    <t>Image download cost</t>
  </si>
  <si>
    <t>Photos are downloaded directly from CarFax's image server, not through Apify.</t>
  </si>
  <si>
    <t>YOUR USAGE</t>
  </si>
  <si>
    <t>VINs per run</t>
  </si>
  <si>
    <t>Example: 1 VIN per lookup, 100 lookups a month. Change both yellow cells.</t>
  </si>
  <si>
    <t>Runs per month</t>
  </si>
  <si>
    <t>RESULT</t>
  </si>
  <si>
    <t>Start fee per run</t>
  </si>
  <si>
    <t>Result fees per run</t>
  </si>
  <si>
    <t>Total cost per run</t>
  </si>
  <si>
    <t>Cost per VIN</t>
  </si>
  <si>
    <t>Total VINs per month</t>
  </si>
  <si>
    <t>Monthly cost</t>
  </si>
  <si>
    <t>Monthly cost after free credit</t>
  </si>
  <si>
    <t>Single-VIN lookups covered by free credit</t>
  </si>
  <si>
    <t>COST BY BATCH SIZE (at the memory set in B6)</t>
  </si>
  <si>
    <t>Cost per run</t>
  </si>
  <si>
    <t>Cost per 1,000 VINs</t>
  </si>
  <si>
    <t>Cost per VIN at 4 GB default</t>
  </si>
  <si>
    <t>Batch rows assume compute stays near the 1-VIN figure; real compute grows a little with batch size (unmeasured).</t>
  </si>
  <si>
    <t>APIFY PLANS</t>
  </si>
  <si>
    <t>Plan</t>
  </si>
  <si>
    <t>Monthly price</t>
  </si>
  <si>
    <t>Included credit</t>
  </si>
  <si>
    <t>Notes</t>
  </si>
  <si>
    <t>Free</t>
  </si>
  <si>
    <t>No credit card. Result fee $0.01/car (measured).</t>
  </si>
  <si>
    <t>Starter</t>
  </si>
  <si>
    <t>Discounted result fee - check actor Pricing tab.</t>
  </si>
  <si>
    <t>Scale</t>
  </si>
  <si>
    <t>Business</t>
  </si>
  <si>
    <t>Lowest advertised rate: $6.85 per 1,000 results.</t>
  </si>
  <si>
    <t>Source: apify.com/pricing and the actor page, checked 2026-10-08. Annual billing is 10% cheaper.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</si>
</sst>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00;\(\$#,##0.0000\);&quot;-&quot;"/>
    <numFmt numFmtId="165" formatCode="\$#,##0.00;\(\$#,##0.00\);&quot;-&quot;"/>
    <numFmt numFmtId="166" formatCode="\$#,##0;\(\$#,##0\);&quot;-&quot;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1"/>
      <color rgb="FF1F4E78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7" fillId="3" borderId="0" xfId="0" applyFont="1" applyFill="1" applyAlignment="1">
      <alignment horizontal="center" wrapText="1"/>
    </xf>
    <xf numFmtId="0" fontId="7" fillId="3" borderId="0" xfId="0" applyFont="1" applyFill="1"/>
    <xf numFmtId="0" fontId="3" fillId="0" borderId="1" xfId="0" applyFont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Border="1"/>
    <xf numFmtId="0" fontId="4" fillId="0" borderId="2" xfId="0" applyFont="1" applyBorder="1" applyAlignment="1">
      <alignment vertical="top" wrapText="1"/>
    </xf>
    <xf numFmtId="0" fontId="5" fillId="0" borderId="1" xfId="0" applyFont="1" applyBorder="1"/>
    <xf numFmtId="3" fontId="6" fillId="2" borderId="1" xfId="0" applyNumberFormat="1" applyFont="1" applyFill="1" applyBorder="1"/>
    <xf numFmtId="164" fontId="6" fillId="0" borderId="1" xfId="0" applyNumberFormat="1" applyFont="1" applyBorder="1"/>
    <xf numFmtId="1" fontId="6" fillId="0" borderId="1" xfId="0" applyNumberFormat="1" applyFont="1" applyBorder="1"/>
    <xf numFmtId="165" fontId="6" fillId="0" borderId="1" xfId="0" applyNumberFormat="1" applyFont="1" applyBorder="1"/>
    <xf numFmtId="164" fontId="5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165" fontId="4" fillId="0" borderId="1" xfId="0" applyNumberFormat="1" applyFont="1" applyBorder="1"/>
    <xf numFmtId="3" fontId="6" fillId="0" borderId="1" xfId="0" applyNumberFormat="1" applyFont="1" applyBorder="1"/>
    <xf numFmtId="166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topLeftCell="A5" workbookViewId="0">
      <selection activeCell="B3" sqref="B3"/>
    </sheetView>
  </sheetViews>
  <sheetFormatPr defaultRowHeight="15" x14ac:dyDescent="0.25"/>
  <cols>
    <col min="1" max="1" width="26" customWidth="1"/>
    <col min="2" max="2" width="95" customWidth="1"/>
  </cols>
  <sheetData>
    <row r="1" spans="1:2" ht="18" x14ac:dyDescent="0.25">
      <c r="A1" s="1" t="s">
        <v>0</v>
      </c>
    </row>
    <row r="2" spans="1:2" x14ac:dyDescent="0.25">
      <c r="A2" s="2" t="s">
        <v>1</v>
      </c>
    </row>
    <row r="5" spans="1:2" x14ac:dyDescent="0.25">
      <c r="A5" s="5" t="s">
        <v>2</v>
      </c>
      <c r="B5" s="8"/>
    </row>
    <row r="6" spans="1:2" x14ac:dyDescent="0.25">
      <c r="A6" s="9" t="s">
        <v>3</v>
      </c>
      <c r="B6" s="7" t="s">
        <v>4</v>
      </c>
    </row>
    <row r="7" spans="1:2" ht="25.5" x14ac:dyDescent="0.25">
      <c r="A7" s="6" t="s">
        <v>5</v>
      </c>
      <c r="B7" s="7" t="s">
        <v>6</v>
      </c>
    </row>
    <row r="8" spans="1:2" ht="38.25" x14ac:dyDescent="0.25">
      <c r="A8" s="6" t="s">
        <v>7</v>
      </c>
      <c r="B8" s="7" t="s">
        <v>8</v>
      </c>
    </row>
    <row r="10" spans="1:2" x14ac:dyDescent="0.25">
      <c r="A10" s="5" t="s">
        <v>9</v>
      </c>
    </row>
    <row r="11" spans="1:2" x14ac:dyDescent="0.25">
      <c r="A11" s="6" t="s">
        <v>10</v>
      </c>
      <c r="B11" s="7" t="s">
        <v>11</v>
      </c>
    </row>
    <row r="12" spans="1:2" x14ac:dyDescent="0.25">
      <c r="A12" s="6" t="s">
        <v>12</v>
      </c>
      <c r="B12" s="7" t="s">
        <v>13</v>
      </c>
    </row>
    <row r="13" spans="1:2" x14ac:dyDescent="0.25">
      <c r="A13" s="6" t="s">
        <v>14</v>
      </c>
      <c r="B13" s="7" t="s">
        <v>15</v>
      </c>
    </row>
    <row r="14" spans="1:2" ht="25.5" x14ac:dyDescent="0.25">
      <c r="A14" s="6" t="s">
        <v>16</v>
      </c>
      <c r="B14" s="7" t="s">
        <v>17</v>
      </c>
    </row>
    <row r="15" spans="1:2" x14ac:dyDescent="0.25">
      <c r="A15" s="6" t="s">
        <v>18</v>
      </c>
      <c r="B15" s="7" t="s">
        <v>19</v>
      </c>
    </row>
    <row r="17" spans="1:2" x14ac:dyDescent="0.25">
      <c r="A17" s="5" t="s">
        <v>20</v>
      </c>
    </row>
    <row r="18" spans="1:2" x14ac:dyDescent="0.25">
      <c r="A18" s="6" t="s">
        <v>21</v>
      </c>
      <c r="B18" s="7" t="s">
        <v>22</v>
      </c>
    </row>
    <row r="19" spans="1:2" x14ac:dyDescent="0.25">
      <c r="A19" s="6" t="s">
        <v>23</v>
      </c>
      <c r="B19" s="7" t="s">
        <v>24</v>
      </c>
    </row>
    <row r="20" spans="1:2" x14ac:dyDescent="0.25">
      <c r="A20" s="6" t="s">
        <v>25</v>
      </c>
      <c r="B20" s="7" t="s">
        <v>26</v>
      </c>
    </row>
    <row r="21" spans="1:2" x14ac:dyDescent="0.25">
      <c r="A21" s="6" t="s">
        <v>27</v>
      </c>
      <c r="B21" s="7" t="s">
        <v>28</v>
      </c>
    </row>
    <row r="22" spans="1:2" x14ac:dyDescent="0.25">
      <c r="A22" s="6" t="s">
        <v>29</v>
      </c>
      <c r="B22" s="7" t="s">
        <v>30</v>
      </c>
    </row>
    <row r="25" spans="1:2" x14ac:dyDescent="0.25">
      <c r="A25" s="5" t="s">
        <v>31</v>
      </c>
    </row>
    <row r="26" spans="1:2" x14ac:dyDescent="0.25">
      <c r="A26" s="6" t="s">
        <v>32</v>
      </c>
      <c r="B26" s="7" t="s">
        <v>33</v>
      </c>
    </row>
    <row r="27" spans="1:2" ht="25.5" x14ac:dyDescent="0.25">
      <c r="A27" s="6" t="s">
        <v>34</v>
      </c>
      <c r="B27" s="7" t="s">
        <v>35</v>
      </c>
    </row>
    <row r="28" spans="1:2" ht="25.5" x14ac:dyDescent="0.25">
      <c r="A28" s="6" t="s">
        <v>36</v>
      </c>
      <c r="B28" s="7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showGridLines="0" tabSelected="1" workbookViewId="0">
      <pane ySplit="3" topLeftCell="A4" activePane="bottomLeft" state="frozen"/>
      <selection pane="bottomLeft" activeCell="D9" sqref="D9"/>
    </sheetView>
  </sheetViews>
  <sheetFormatPr defaultRowHeight="15" x14ac:dyDescent="0.25"/>
  <cols>
    <col min="1" max="1" width="38" customWidth="1"/>
    <col min="2" max="3" width="18" customWidth="1"/>
    <col min="4" max="4" width="26.140625" customWidth="1"/>
    <col min="5" max="5" width="25.5703125" customWidth="1"/>
    <col min="6" max="6" width="60" customWidth="1"/>
  </cols>
  <sheetData>
    <row r="1" spans="1:6" ht="18" x14ac:dyDescent="0.25">
      <c r="A1" s="1" t="s">
        <v>38</v>
      </c>
    </row>
    <row r="2" spans="1:6" x14ac:dyDescent="0.25">
      <c r="A2" s="2" t="s">
        <v>39</v>
      </c>
    </row>
    <row r="4" spans="1:6" x14ac:dyDescent="0.25">
      <c r="A4" s="5" t="s">
        <v>40</v>
      </c>
    </row>
    <row r="5" spans="1:6" x14ac:dyDescent="0.25">
      <c r="A5" s="10" t="s">
        <v>41</v>
      </c>
      <c r="B5" s="12">
        <v>5.0000000000000001E-3</v>
      </c>
      <c r="F5" s="2" t="s">
        <v>42</v>
      </c>
    </row>
    <row r="6" spans="1:6" x14ac:dyDescent="0.25">
      <c r="A6" s="10" t="s">
        <v>43</v>
      </c>
      <c r="B6" s="13">
        <v>1</v>
      </c>
      <c r="F6" s="2" t="s">
        <v>44</v>
      </c>
    </row>
    <row r="7" spans="1:6" x14ac:dyDescent="0.25">
      <c r="A7" s="10" t="s">
        <v>45</v>
      </c>
      <c r="B7" s="12">
        <v>0.01</v>
      </c>
      <c r="F7" s="2" t="s">
        <v>46</v>
      </c>
    </row>
    <row r="8" spans="1:6" x14ac:dyDescent="0.25">
      <c r="A8" s="10" t="s">
        <v>47</v>
      </c>
      <c r="B8" s="12">
        <v>5.0000000000000001E-4</v>
      </c>
      <c r="F8" s="2" t="s">
        <v>48</v>
      </c>
    </row>
    <row r="9" spans="1:6" x14ac:dyDescent="0.25">
      <c r="A9" s="10" t="s">
        <v>49</v>
      </c>
      <c r="B9" s="14">
        <v>5</v>
      </c>
      <c r="F9" s="2" t="s">
        <v>50</v>
      </c>
    </row>
    <row r="10" spans="1:6" x14ac:dyDescent="0.25">
      <c r="A10" s="10" t="s">
        <v>51</v>
      </c>
      <c r="B10" s="12">
        <v>0</v>
      </c>
      <c r="F10" s="2" t="s">
        <v>52</v>
      </c>
    </row>
    <row r="12" spans="1:6" x14ac:dyDescent="0.25">
      <c r="A12" s="5" t="s">
        <v>53</v>
      </c>
    </row>
    <row r="13" spans="1:6" x14ac:dyDescent="0.25">
      <c r="A13" s="10" t="s">
        <v>54</v>
      </c>
      <c r="B13" s="11">
        <v>1</v>
      </c>
      <c r="F13" s="2" t="s">
        <v>55</v>
      </c>
    </row>
    <row r="14" spans="1:6" x14ac:dyDescent="0.25">
      <c r="A14" s="10" t="s">
        <v>56</v>
      </c>
      <c r="B14" s="11">
        <v>10000</v>
      </c>
    </row>
    <row r="16" spans="1:6" x14ac:dyDescent="0.25">
      <c r="A16" s="5" t="s">
        <v>57</v>
      </c>
    </row>
    <row r="17" spans="1:5" x14ac:dyDescent="0.25">
      <c r="A17" s="10" t="s">
        <v>58</v>
      </c>
      <c r="B17" s="15">
        <f>$B$5*MAX(1,ROUNDUP($B$6,0))</f>
        <v>5.0000000000000001E-3</v>
      </c>
    </row>
    <row r="18" spans="1:5" x14ac:dyDescent="0.25">
      <c r="A18" s="10" t="s">
        <v>59</v>
      </c>
      <c r="B18" s="15">
        <f>$B$7*B13</f>
        <v>0.01</v>
      </c>
    </row>
    <row r="19" spans="1:5" x14ac:dyDescent="0.25">
      <c r="A19" s="10" t="s">
        <v>47</v>
      </c>
      <c r="B19" s="15">
        <f>$B$8</f>
        <v>5.0000000000000001E-4</v>
      </c>
    </row>
    <row r="20" spans="1:5" x14ac:dyDescent="0.25">
      <c r="A20" s="16" t="s">
        <v>60</v>
      </c>
      <c r="B20" s="17">
        <f>SUM(B17:B19)</f>
        <v>1.55E-2</v>
      </c>
    </row>
    <row r="21" spans="1:5" x14ac:dyDescent="0.25">
      <c r="A21" s="16" t="s">
        <v>61</v>
      </c>
      <c r="B21" s="17">
        <f>IF(B13=0,0,B20/B13)</f>
        <v>1.55E-2</v>
      </c>
    </row>
    <row r="22" spans="1:5" x14ac:dyDescent="0.25">
      <c r="A22" s="10" t="s">
        <v>62</v>
      </c>
      <c r="B22" s="18">
        <f>B13*B14</f>
        <v>10000</v>
      </c>
    </row>
    <row r="23" spans="1:5" x14ac:dyDescent="0.25">
      <c r="A23" s="10" t="s">
        <v>63</v>
      </c>
      <c r="B23" s="19">
        <f>B20*B14</f>
        <v>155</v>
      </c>
    </row>
    <row r="24" spans="1:5" x14ac:dyDescent="0.25">
      <c r="A24" s="16" t="s">
        <v>64</v>
      </c>
      <c r="B24" s="20">
        <f>MAX(0,B23-$B$9)</f>
        <v>150</v>
      </c>
    </row>
    <row r="25" spans="1:5" x14ac:dyDescent="0.25">
      <c r="A25" s="10" t="s">
        <v>65</v>
      </c>
      <c r="B25" s="18">
        <f>ROUNDDOWN($B$9/($B$5*MAX(1,ROUNDUP($B$6,0))+$B$7+$B$8),0)</f>
        <v>322</v>
      </c>
    </row>
    <row r="28" spans="1:5" x14ac:dyDescent="0.25">
      <c r="A28" s="5" t="s">
        <v>66</v>
      </c>
    </row>
    <row r="29" spans="1:5" ht="30" x14ac:dyDescent="0.25">
      <c r="A29" s="3" t="s">
        <v>54</v>
      </c>
      <c r="B29" s="3" t="s">
        <v>67</v>
      </c>
      <c r="C29" s="3" t="s">
        <v>61</v>
      </c>
      <c r="D29" s="3" t="s">
        <v>68</v>
      </c>
      <c r="E29" s="3" t="s">
        <v>69</v>
      </c>
    </row>
    <row r="30" spans="1:5" x14ac:dyDescent="0.25">
      <c r="A30" s="21">
        <v>1</v>
      </c>
      <c r="B30" s="15">
        <f t="shared" ref="B30:B35" si="0">$B$5*MAX(1,ROUNDUP($B$6,0))+$B$7*A30+$B$8</f>
        <v>1.55E-2</v>
      </c>
      <c r="C30" s="15">
        <f t="shared" ref="C30:C35" si="1">B30/A30</f>
        <v>1.55E-2</v>
      </c>
      <c r="D30" s="19">
        <f t="shared" ref="D30:D35" si="2">C30*1000</f>
        <v>15.5</v>
      </c>
      <c r="E30" s="15">
        <f t="shared" ref="E30:E35" si="3">($B$5*4+$B$7*A30+$B$8)/A30</f>
        <v>3.0499999999999999E-2</v>
      </c>
    </row>
    <row r="31" spans="1:5" x14ac:dyDescent="0.25">
      <c r="A31" s="21">
        <v>5</v>
      </c>
      <c r="B31" s="15">
        <f t="shared" si="0"/>
        <v>5.5500000000000001E-2</v>
      </c>
      <c r="C31" s="15">
        <f t="shared" si="1"/>
        <v>1.11E-2</v>
      </c>
      <c r="D31" s="19">
        <f t="shared" si="2"/>
        <v>11.1</v>
      </c>
      <c r="E31" s="15">
        <f t="shared" si="3"/>
        <v>1.4100000000000001E-2</v>
      </c>
    </row>
    <row r="32" spans="1:5" x14ac:dyDescent="0.25">
      <c r="A32" s="21">
        <v>10</v>
      </c>
      <c r="B32" s="15">
        <f t="shared" si="0"/>
        <v>0.10550000000000001</v>
      </c>
      <c r="C32" s="15">
        <f t="shared" si="1"/>
        <v>1.055E-2</v>
      </c>
      <c r="D32" s="19">
        <f t="shared" si="2"/>
        <v>10.55</v>
      </c>
      <c r="E32" s="15">
        <f t="shared" si="3"/>
        <v>1.2050000000000002E-2</v>
      </c>
    </row>
    <row r="33" spans="1:5" x14ac:dyDescent="0.25">
      <c r="A33" s="21">
        <v>25</v>
      </c>
      <c r="B33" s="15">
        <f t="shared" si="0"/>
        <v>0.2555</v>
      </c>
      <c r="C33" s="15">
        <f t="shared" si="1"/>
        <v>1.022E-2</v>
      </c>
      <c r="D33" s="19">
        <f t="shared" si="2"/>
        <v>10.220000000000001</v>
      </c>
      <c r="E33" s="15">
        <f t="shared" si="3"/>
        <v>1.0820000000000001E-2</v>
      </c>
    </row>
    <row r="34" spans="1:5" x14ac:dyDescent="0.25">
      <c r="A34" s="21">
        <v>50</v>
      </c>
      <c r="B34" s="15">
        <f t="shared" si="0"/>
        <v>0.50549999999999995</v>
      </c>
      <c r="C34" s="15">
        <f t="shared" si="1"/>
        <v>1.0109999999999999E-2</v>
      </c>
      <c r="D34" s="19">
        <f t="shared" si="2"/>
        <v>10.11</v>
      </c>
      <c r="E34" s="15">
        <f t="shared" si="3"/>
        <v>1.0409999999999999E-2</v>
      </c>
    </row>
    <row r="35" spans="1:5" x14ac:dyDescent="0.25">
      <c r="A35" s="21">
        <v>100</v>
      </c>
      <c r="B35" s="15">
        <f t="shared" si="0"/>
        <v>1.0054999999999998</v>
      </c>
      <c r="C35" s="15">
        <f t="shared" si="1"/>
        <v>1.0054999999999998E-2</v>
      </c>
      <c r="D35" s="19">
        <f t="shared" si="2"/>
        <v>10.054999999999998</v>
      </c>
      <c r="E35" s="15">
        <f t="shared" si="3"/>
        <v>1.0204999999999999E-2</v>
      </c>
    </row>
    <row r="37" spans="1:5" x14ac:dyDescent="0.25">
      <c r="A37" s="2" t="s">
        <v>70</v>
      </c>
    </row>
    <row r="40" spans="1:5" x14ac:dyDescent="0.25">
      <c r="A40" s="5" t="s">
        <v>71</v>
      </c>
    </row>
    <row r="41" spans="1:5" x14ac:dyDescent="0.25">
      <c r="A41" s="4" t="s">
        <v>72</v>
      </c>
      <c r="B41" s="4" t="s">
        <v>73</v>
      </c>
      <c r="C41" s="4" t="s">
        <v>74</v>
      </c>
      <c r="D41" s="4" t="s">
        <v>75</v>
      </c>
    </row>
    <row r="42" spans="1:5" x14ac:dyDescent="0.25">
      <c r="A42" s="10" t="s">
        <v>76</v>
      </c>
      <c r="B42" s="22">
        <v>0</v>
      </c>
      <c r="C42" s="22">
        <v>5</v>
      </c>
      <c r="D42" s="10" t="s">
        <v>77</v>
      </c>
    </row>
    <row r="43" spans="1:5" x14ac:dyDescent="0.25">
      <c r="A43" s="10" t="s">
        <v>78</v>
      </c>
      <c r="B43" s="22">
        <v>19</v>
      </c>
      <c r="C43" s="22">
        <v>19</v>
      </c>
      <c r="D43" s="10" t="s">
        <v>79</v>
      </c>
    </row>
    <row r="44" spans="1:5" x14ac:dyDescent="0.25">
      <c r="A44" s="10" t="s">
        <v>80</v>
      </c>
      <c r="B44" s="22">
        <v>199</v>
      </c>
      <c r="C44" s="22">
        <v>199</v>
      </c>
      <c r="D44" s="10" t="s">
        <v>79</v>
      </c>
    </row>
    <row r="45" spans="1:5" x14ac:dyDescent="0.25">
      <c r="A45" s="10" t="s">
        <v>81</v>
      </c>
      <c r="B45" s="22">
        <v>999</v>
      </c>
      <c r="C45" s="22">
        <v>999</v>
      </c>
      <c r="D45" s="10" t="s">
        <v>82</v>
      </c>
    </row>
    <row r="46" spans="1:5" x14ac:dyDescent="0.25">
      <c r="A46" s="2" t="s">
        <v>83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Cost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P</cp:lastModifiedBy>
  <dcterms:created xsi:type="dcterms:W3CDTF">2026-10-08T13:11:46Z</dcterms:created>
  <dcterms:modified xsi:type="dcterms:W3CDTF">2026-10-08T16:11:07Z</dcterms:modified>
</cp:coreProperties>
</file>