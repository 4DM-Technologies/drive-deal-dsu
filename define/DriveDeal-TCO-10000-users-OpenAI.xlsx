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Infra Cost" sheetId="2" state="visible" r:id="rId2"/>
    <sheet xmlns:r="http://schemas.openxmlformats.org/officeDocument/2006/relationships" name="AI Cost" sheetId="3" state="visible" r:id="rId3"/>
    <sheet xmlns:r="http://schemas.openxmlformats.org/officeDocument/2006/relationships" name="Setup Guide" sheetId="4" state="visible" r:id="rId4"/>
  </sheets>
  <definedNames/>
</workbook>
</file>

<file path=xl/styles.xml><?xml version="1.0" encoding="utf-8"?>
<styleSheet xmlns="http://schemas.openxmlformats.org/spreadsheetml/2006/main">
  <numFmts count="6">
    <numFmt numFmtId="164" formatCode="#,##0;\(#,##0\);&quot;-&quot;"/>
    <numFmt numFmtId="165" formatCode="\$#,##0.00;\(\$#,##0.00\);&quot;-&quot;"/>
    <numFmt numFmtId="166" formatCode="0.0%;\(0.0%\);&quot;-&quot;"/>
    <numFmt numFmtId="167" formatCode="\$#,##0.0000;\(\$#,##0.0000\);&quot;-&quot;"/>
    <numFmt numFmtId="168" formatCode="#,##0.00;\(#,##0.00\);&quot;-&quot;"/>
    <numFmt numFmtId="169" formatCode="0.0&quot;x&quot;"/>
  </numFmts>
  <fonts count="16">
    <font>
      <name val="Calibri"/>
      <family val="2"/>
      <color theme="1"/>
      <sz val="11"/>
      <scheme val="minor"/>
    </font>
    <font>
      <name val="Arial"/>
      <b val="1"/>
      <color rgb="FF1F3864"/>
      <sz val="14"/>
    </font>
    <font>
      <name val="Arial"/>
      <i val="1"/>
      <color rgb="FF595959"/>
      <sz val="9"/>
    </font>
    <font>
      <name val="Arial"/>
      <color rgb="FF000000"/>
      <sz val="10"/>
    </font>
    <font>
      <name val="Arial"/>
      <b val="1"/>
      <color rgb="FF000000"/>
      <sz val="10"/>
    </font>
    <font>
      <name val="Arial"/>
      <b val="1"/>
      <color rgb="FFFFFFFF"/>
      <sz val="10"/>
    </font>
    <font>
      <name val="Arial"/>
      <color rgb="FF0000FF"/>
      <sz val="10"/>
    </font>
    <font>
      <name val="Arial"/>
      <color rgb="FF000000"/>
      <sz val="9"/>
    </font>
    <font>
      <name val="Arial"/>
      <b val="1"/>
      <sz val="9"/>
    </font>
    <font>
      <name val="Arial"/>
      <color rgb="FF0000FF"/>
      <sz val="9"/>
    </font>
    <font>
      <name val="Arial"/>
      <color rgb="FF008000"/>
      <sz val="9"/>
    </font>
    <font>
      <name val="Arial"/>
      <color rgb="FF008000"/>
      <sz val="10"/>
    </font>
    <font>
      <name val="Arial"/>
      <color rgb="FF595959"/>
      <sz val="10"/>
    </font>
    <font>
      <name val="Arial"/>
      <sz val="10"/>
    </font>
    <font>
      <name val="Arial"/>
      <b val="1"/>
      <sz val="11"/>
    </font>
    <font>
      <name val="Arial"/>
      <color rgb="FF595959"/>
      <sz val="9"/>
    </font>
  </fonts>
  <fills count="6">
    <fill>
      <patternFill/>
    </fill>
    <fill>
      <patternFill patternType="gray125"/>
    </fill>
    <fill>
      <patternFill patternType="solid">
        <fgColor rgb="FFD9E1F2"/>
      </patternFill>
    </fill>
    <fill>
      <patternFill patternType="solid">
        <fgColor rgb="FF1F3864"/>
      </patternFill>
    </fill>
    <fill>
      <patternFill patternType="solid">
        <fgColor rgb="FFFFFF00"/>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9">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top"/>
    </xf>
    <xf numFmtId="0" fontId="3" fillId="2" borderId="1" applyAlignment="1" pivotButton="0" quotePrefix="0" xfId="0">
      <alignment vertical="top"/>
    </xf>
    <xf numFmtId="0" fontId="5" fillId="3" borderId="1" applyAlignment="1" pivotButton="0" quotePrefix="0" xfId="0">
      <alignment vertical="top" wrapText="1"/>
    </xf>
    <xf numFmtId="0" fontId="3" fillId="0" borderId="1" applyAlignment="1" pivotButton="0" quotePrefix="0" xfId="0">
      <alignment vertical="top"/>
    </xf>
    <xf numFmtId="164" fontId="11" fillId="0" borderId="1" applyAlignment="1" pivotButton="0" quotePrefix="0" xfId="0">
      <alignment vertical="top"/>
    </xf>
    <xf numFmtId="0" fontId="7" fillId="0" borderId="1" applyAlignment="1" pivotButton="0" quotePrefix="0" xfId="0">
      <alignment vertical="top"/>
    </xf>
    <xf numFmtId="165" fontId="11" fillId="0" borderId="1" applyAlignment="1" pivotButton="0" quotePrefix="0" xfId="0">
      <alignment vertical="top"/>
    </xf>
    <xf numFmtId="165" fontId="3" fillId="0" borderId="1" applyAlignment="1" pivotButton="0" quotePrefix="0" xfId="0">
      <alignment vertical="top"/>
    </xf>
    <xf numFmtId="166" fontId="3" fillId="0" borderId="1" applyAlignment="1" pivotButton="0" quotePrefix="0" xfId="0">
      <alignment vertical="top"/>
    </xf>
    <xf numFmtId="0" fontId="4" fillId="5" borderId="1" applyAlignment="1" pivotButton="0" quotePrefix="0" xfId="0">
      <alignment vertical="top"/>
    </xf>
    <xf numFmtId="165" fontId="4" fillId="5" borderId="1" applyAlignment="1" pivotButton="0" quotePrefix="0" xfId="0">
      <alignment vertical="top"/>
    </xf>
    <xf numFmtId="166" fontId="4" fillId="5" borderId="1" applyAlignment="1" pivotButton="0" quotePrefix="0" xfId="0">
      <alignment vertical="top"/>
    </xf>
    <xf numFmtId="0" fontId="8" fillId="0" borderId="0" pivotButton="0" quotePrefix="0" xfId="0"/>
    <xf numFmtId="0" fontId="9" fillId="4" borderId="1" applyAlignment="1" pivotButton="0" quotePrefix="0" xfId="0">
      <alignment vertical="top"/>
    </xf>
    <xf numFmtId="0" fontId="7" fillId="0" borderId="0" applyAlignment="1" pivotButton="0" quotePrefix="0" xfId="0">
      <alignment vertical="top"/>
    </xf>
    <xf numFmtId="0" fontId="10" fillId="0" borderId="1" applyAlignment="1" pivotButton="0" quotePrefix="0" xfId="0">
      <alignment vertical="top"/>
    </xf>
    <xf numFmtId="164" fontId="6" fillId="4" borderId="1" applyAlignment="1" pivotButton="0" quotePrefix="0" xfId="0">
      <alignment vertical="top"/>
    </xf>
    <xf numFmtId="0" fontId="3" fillId="0" borderId="1" applyAlignment="1" pivotButton="0" quotePrefix="0" xfId="0">
      <alignment vertical="top" wrapText="1"/>
    </xf>
    <xf numFmtId="167" fontId="6" fillId="0" borderId="1" applyAlignment="1" pivotButton="0" quotePrefix="0" xfId="0">
      <alignment vertical="top"/>
    </xf>
    <xf numFmtId="168" fontId="3" fillId="0" borderId="1" applyAlignment="1" pivotButton="0" quotePrefix="0" xfId="0">
      <alignment vertical="top"/>
    </xf>
    <xf numFmtId="0" fontId="7" fillId="0" borderId="1" applyAlignment="1" pivotButton="0" quotePrefix="0" xfId="0">
      <alignment vertical="top" wrapText="1"/>
    </xf>
    <xf numFmtId="168" fontId="6" fillId="0" borderId="1" applyAlignment="1" pivotButton="0" quotePrefix="0" xfId="0">
      <alignment vertical="top"/>
    </xf>
    <xf numFmtId="0" fontId="3" fillId="5" borderId="1" applyAlignment="1" pivotButton="0" quotePrefix="0" xfId="0">
      <alignment vertical="top"/>
    </xf>
    <xf numFmtId="0" fontId="4" fillId="0" borderId="1" applyAlignment="1" pivotButton="0" quotePrefix="0" xfId="0">
      <alignment vertical="top"/>
    </xf>
    <xf numFmtId="165" fontId="4" fillId="0" borderId="1" applyAlignment="1" pivotButton="0" quotePrefix="0" xfId="0">
      <alignment vertical="top"/>
    </xf>
    <xf numFmtId="166" fontId="6" fillId="4" borderId="1" applyAlignment="1" pivotButton="0" quotePrefix="0" xfId="0">
      <alignment vertical="top"/>
    </xf>
    <xf numFmtId="165" fontId="6" fillId="4" borderId="1" applyAlignment="1" pivotButton="0" quotePrefix="0" xfId="0">
      <alignment vertical="top"/>
    </xf>
    <xf numFmtId="169" fontId="6" fillId="4" borderId="1" applyAlignment="1" pivotButton="0" quotePrefix="0" xfId="0">
      <alignment vertical="top"/>
    </xf>
    <xf numFmtId="164" fontId="12" fillId="0" borderId="1" applyAlignment="1" pivotButton="0" quotePrefix="0" xfId="0">
      <alignment vertical="top"/>
    </xf>
    <xf numFmtId="166" fontId="4" fillId="0" borderId="1" applyAlignment="1" pivotButton="0" quotePrefix="0" xfId="0">
      <alignment vertical="top"/>
    </xf>
    <xf numFmtId="166" fontId="3" fillId="5" borderId="1" applyAlignment="1" pivotButton="0" quotePrefix="0" xfId="0">
      <alignment vertical="top"/>
    </xf>
    <xf numFmtId="168" fontId="4" fillId="5" borderId="1" applyAlignment="1" pivotButton="0" quotePrefix="0" xfId="0">
      <alignment vertical="top"/>
    </xf>
    <xf numFmtId="164" fontId="3" fillId="0" borderId="1" applyAlignment="1" pivotButton="0" quotePrefix="0" xfId="0">
      <alignment vertical="top"/>
    </xf>
    <xf numFmtId="167" fontId="3" fillId="0" borderId="1" applyAlignment="1" pivotButton="0" quotePrefix="0" xfId="0">
      <alignment vertical="top"/>
    </xf>
    <xf numFmtId="164" fontId="4" fillId="5" borderId="1" applyAlignment="1" pivotButton="0" quotePrefix="0" xfId="0">
      <alignment vertical="top"/>
    </xf>
    <xf numFmtId="0" fontId="3" fillId="0" borderId="1" applyAlignment="1" pivotButton="0" quotePrefix="0" xfId="0">
      <alignment horizontal="center" vertical="top"/>
    </xf>
    <xf numFmtId="0" fontId="14" fillId="0" borderId="0" pivotButton="0" quotePrefix="0" xfId="0"/>
    <xf numFmtId="0" fontId="15" fillId="0" borderId="0" pivotButton="0" quotePrefix="0" xfId="0"/>
    <xf numFmtId="0" fontId="13" fillId="0" borderId="0" pivotButton="0" quotePrefix="0" xfId="0"/>
    <xf numFmtId="0" fontId="0" fillId="0" borderId="0" pivotButton="0" quotePrefix="0" xfId="0"/>
    <xf numFmtId="165" fontId="11" fillId="0" borderId="1" applyAlignment="1" pivotButton="0" quotePrefix="0" xfId="0">
      <alignment vertical="top"/>
    </xf>
    <xf numFmtId="165" fontId="3" fillId="0" borderId="1" applyAlignment="1" pivotButton="0" quotePrefix="0" xfId="0">
      <alignment vertical="top"/>
    </xf>
    <xf numFmtId="166" fontId="3" fillId="0" borderId="1" applyAlignment="1" pivotButton="0" quotePrefix="0" xfId="0">
      <alignment vertical="top"/>
    </xf>
    <xf numFmtId="165" fontId="4" fillId="5" borderId="1" applyAlignment="1" pivotButton="0" quotePrefix="0" xfId="0">
      <alignment vertical="top"/>
    </xf>
    <xf numFmtId="166" fontId="4" fillId="5" borderId="1" applyAlignment="1" pivotButton="0" quotePrefix="0" xfId="0">
      <alignment vertical="top"/>
    </xf>
    <xf numFmtId="0" fontId="13" fillId="0" borderId="0" applyAlignment="1" pivotButton="0" quotePrefix="0" xfId="0">
      <alignment vertical="top" wrapText="1"/>
    </xf>
    <xf numFmtId="167" fontId="6" fillId="0" borderId="1" applyAlignment="1" pivotButton="0" quotePrefix="0" xfId="0">
      <alignment vertical="top"/>
    </xf>
    <xf numFmtId="168" fontId="3" fillId="0" borderId="1" applyAlignment="1" pivotButton="0" quotePrefix="0" xfId="0">
      <alignment vertical="top"/>
    </xf>
    <xf numFmtId="168" fontId="6" fillId="0" borderId="1" applyAlignment="1" pivotButton="0" quotePrefix="0" xfId="0">
      <alignment vertical="top"/>
    </xf>
    <xf numFmtId="165" fontId="4" fillId="0" borderId="1" applyAlignment="1" pivotButton="0" quotePrefix="0" xfId="0">
      <alignment vertical="top"/>
    </xf>
    <xf numFmtId="166" fontId="6" fillId="4" borderId="1" applyAlignment="1" pivotButton="0" quotePrefix="0" xfId="0">
      <alignment vertical="top"/>
    </xf>
    <xf numFmtId="165" fontId="6" fillId="4" borderId="1" applyAlignment="1" pivotButton="0" quotePrefix="0" xfId="0">
      <alignment vertical="top"/>
    </xf>
    <xf numFmtId="166" fontId="4" fillId="0" borderId="1" applyAlignment="1" pivotButton="0" quotePrefix="0" xfId="0">
      <alignment vertical="top"/>
    </xf>
    <xf numFmtId="166" fontId="3" fillId="5" borderId="1" applyAlignment="1" pivotButton="0" quotePrefix="0" xfId="0">
      <alignment vertical="top"/>
    </xf>
    <xf numFmtId="168" fontId="4" fillId="5" borderId="1" applyAlignment="1" pivotButton="0" quotePrefix="0" xfId="0">
      <alignment vertical="top"/>
    </xf>
    <xf numFmtId="167" fontId="3" fillId="0" borderId="1"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TCO</author>
  </authors>
  <commentList>
    <comment ref="F12" authorId="0" shapeId="0">
      <text>
        <t>Blue unit prices are editable inputs. Source: team TCO workbook, AWS public pricing reviewed 12-Oct-2026.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44" customWidth="1" style="42" min="1" max="1"/>
    <col width="18" customWidth="1" style="42" min="2" max="2"/>
    <col width="20.140625" customWidth="1" style="42" min="3" max="3"/>
    <col width="22" customWidth="1" style="42" min="4" max="4"/>
    <col width="16" customWidth="1" style="42" min="5" max="5"/>
  </cols>
  <sheetData>
    <row r="1" ht="18" customHeight="1" s="42">
      <c r="A1" s="1" t="inlineStr">
        <is>
          <t>DriveDeal monthly operating cost - 10,000 users - OpenAI API (GPT-6 Luna)</t>
        </is>
      </c>
    </row>
    <row r="2">
      <c r="A2" s="2" t="inlineStr">
        <is>
          <t>USD - AWS us-east-1 hosting + OpenAI API pay-as-you-go for the Sera AI advisor - all figures link to the detail sheets</t>
        </is>
      </c>
    </row>
    <row r="4">
      <c r="A4" s="3" t="inlineStr">
        <is>
          <t>Usage</t>
        </is>
      </c>
      <c r="B4" s="4" t="n"/>
      <c r="C4" s="4" t="n"/>
    </row>
    <row r="5">
      <c r="A5" s="5" t="inlineStr">
        <is>
          <t>Metric</t>
        </is>
      </c>
      <c r="B5" s="5" t="inlineStr">
        <is>
          <t>Monthly</t>
        </is>
      </c>
      <c r="C5" s="5" t="inlineStr">
        <is>
          <t>Source</t>
        </is>
      </c>
    </row>
    <row r="6">
      <c r="A6" s="6" t="inlineStr">
        <is>
          <t>Monthly active users</t>
        </is>
      </c>
      <c r="B6" s="7">
        <f>'AI Cost'!B6</f>
        <v/>
      </c>
      <c r="C6" s="8" t="inlineStr">
        <is>
          <t>AI Cost / Infra Cost input</t>
        </is>
      </c>
    </row>
    <row r="7">
      <c r="A7" s="6" t="inlineStr">
        <is>
          <t>AI chat messages</t>
        </is>
      </c>
      <c r="B7" s="7">
        <f>'AI Cost'!B58</f>
        <v/>
      </c>
      <c r="C7" s="8" t="inlineStr">
        <is>
          <t>AI Cost</t>
        </is>
      </c>
    </row>
    <row r="8">
      <c r="A8" s="6" t="inlineStr">
        <is>
          <t>OpenAI model calls</t>
        </is>
      </c>
      <c r="B8" s="7">
        <f>'AI Cost'!B59</f>
        <v/>
      </c>
      <c r="C8" s="8" t="inlineStr">
        <is>
          <t>AI Cost</t>
        </is>
      </c>
    </row>
    <row r="9">
      <c r="A9" s="6" t="inlineStr">
        <is>
          <t>Input tokens</t>
        </is>
      </c>
      <c r="B9" s="7">
        <f>'AI Cost'!B60</f>
        <v/>
      </c>
      <c r="C9" s="8" t="inlineStr">
        <is>
          <t>AI Cost</t>
        </is>
      </c>
    </row>
    <row r="10">
      <c r="A10" s="6" t="inlineStr">
        <is>
          <t>Output tokens</t>
        </is>
      </c>
      <c r="B10" s="7">
        <f>'AI Cost'!B63</f>
        <v/>
      </c>
      <c r="C10" s="8" t="inlineStr">
        <is>
          <t>AI Cost</t>
        </is>
      </c>
    </row>
    <row r="11">
      <c r="A11" s="6" t="inlineStr">
        <is>
          <t>Hosted web search calls</t>
        </is>
      </c>
      <c r="B11" s="7">
        <f>'AI Cost'!B64</f>
        <v/>
      </c>
      <c r="C11" s="8" t="inlineStr">
        <is>
          <t>AI Cost</t>
        </is>
      </c>
    </row>
    <row r="13">
      <c r="A13" s="3" t="inlineStr">
        <is>
          <t>Monthly operating cost</t>
        </is>
      </c>
      <c r="B13" s="4" t="n"/>
      <c r="C13" s="4" t="n"/>
      <c r="D13" s="4" t="n"/>
      <c r="E13" s="4" t="n"/>
    </row>
    <row r="14">
      <c r="A14" s="5" t="inlineStr">
        <is>
          <t>Cost line</t>
        </is>
      </c>
      <c r="B14" s="5" t="inlineStr">
        <is>
          <t>Monthly (USD)</t>
        </is>
      </c>
      <c r="C14" s="5" t="inlineStr">
        <is>
          <t>Annual (USD)</t>
        </is>
      </c>
      <c r="D14" s="5" t="inlineStr">
        <is>
          <t>Per user / month (USD)</t>
        </is>
      </c>
      <c r="E14" s="5" t="inlineStr">
        <is>
          <t>Share of total</t>
        </is>
      </c>
    </row>
    <row r="15">
      <c r="A15" s="6" t="inlineStr">
        <is>
          <t>AWS infrastructure</t>
        </is>
      </c>
      <c r="B15" s="43">
        <f>'Infra Cost'!H49</f>
        <v/>
      </c>
      <c r="C15" s="44">
        <f>B15*12</f>
        <v/>
      </c>
      <c r="D15" s="44">
        <f>IF($B$6&gt;0,B15/$B$6,0)</f>
        <v/>
      </c>
      <c r="E15" s="45">
        <f>IF($B$17&gt;0,B15/$B$17,0)</f>
        <v/>
      </c>
    </row>
    <row r="16">
      <c r="A16" s="6" t="inlineStr">
        <is>
          <t>OpenAI API (Sera AI)</t>
        </is>
      </c>
      <c r="B16" s="43">
        <f>'AI Cost'!B69</f>
        <v/>
      </c>
      <c r="C16" s="44">
        <f>B16*12</f>
        <v/>
      </c>
      <c r="D16" s="44">
        <f>IF($B$6&gt;0,B16/$B$6,0)</f>
        <v/>
      </c>
      <c r="E16" s="45">
        <f>IF($B$17&gt;0,B16/$B$17,0)</f>
        <v/>
      </c>
    </row>
    <row r="17">
      <c r="A17" s="12" t="inlineStr">
        <is>
          <t>Total operating cost</t>
        </is>
      </c>
      <c r="B17" s="46">
        <f>SUM(B15:B16)</f>
        <v/>
      </c>
      <c r="C17" s="46">
        <f>B17*12</f>
        <v/>
      </c>
      <c r="D17" s="46">
        <f>IF($B$6&gt;0,B17/$B$6,0)</f>
        <v/>
      </c>
      <c r="E17" s="47">
        <f>SUM(E15:E16)</f>
        <v/>
      </c>
    </row>
    <row r="19">
      <c r="A19" s="3" t="inlineStr">
        <is>
          <t>AWS cost by category</t>
        </is>
      </c>
      <c r="B19" s="4" t="n"/>
      <c r="C19" s="4" t="n"/>
    </row>
    <row r="20">
      <c r="A20" s="5" t="inlineStr">
        <is>
          <t>Category</t>
        </is>
      </c>
      <c r="B20" s="5" t="inlineStr">
        <is>
          <t>Monthly (USD)</t>
        </is>
      </c>
      <c r="C20" s="5" t="inlineStr">
        <is>
          <t>Share of AWS</t>
        </is>
      </c>
    </row>
    <row r="21" s="42">
      <c r="A21" s="6" t="inlineStr">
        <is>
          <t>Compute</t>
        </is>
      </c>
      <c r="B21" s="44">
        <f>SUMIF('Infra Cost'!$A$13:$A$48,A21,'Infra Cost'!$H$13:$H$48)</f>
        <v/>
      </c>
      <c r="C21" s="45">
        <f>IF($B$15&gt;0,B21/$B$15,0)</f>
        <v/>
      </c>
    </row>
    <row r="22" s="42">
      <c r="A22" s="6" t="inlineStr">
        <is>
          <t>Database</t>
        </is>
      </c>
      <c r="B22" s="44">
        <f>SUMIF('Infra Cost'!$A$13:$A$48,A22,'Infra Cost'!$H$13:$H$48)</f>
        <v/>
      </c>
      <c r="C22" s="45">
        <f>IF($B$15&gt;0,B22/$B$15,0)</f>
        <v/>
      </c>
    </row>
    <row r="23" s="42">
      <c r="A23" s="6" t="inlineStr">
        <is>
          <t>Load balancer</t>
        </is>
      </c>
      <c r="B23" s="44">
        <f>SUMIF('Infra Cost'!$A$13:$A$48,A23,'Infra Cost'!$H$13:$H$48)</f>
        <v/>
      </c>
      <c r="C23" s="45">
        <f>IF($B$15&gt;0,B23/$B$15,0)</f>
        <v/>
      </c>
    </row>
    <row r="24" s="42">
      <c r="A24" s="6" t="inlineStr">
        <is>
          <t>Network</t>
        </is>
      </c>
      <c r="B24" s="44">
        <f>SUMIF('Infra Cost'!$A$13:$A$48,A24,'Infra Cost'!$H$13:$H$48)</f>
        <v/>
      </c>
      <c r="C24" s="45">
        <f>IF($B$15&gt;0,B24/$B$15,0)</f>
        <v/>
      </c>
    </row>
    <row r="25" s="42">
      <c r="A25" s="6" t="inlineStr">
        <is>
          <t>CDN</t>
        </is>
      </c>
      <c r="B25" s="44">
        <f>SUMIF('Infra Cost'!$A$13:$A$48,A25,'Infra Cost'!$H$13:$H$48)</f>
        <v/>
      </c>
      <c r="C25" s="45">
        <f>IF($B$15&gt;0,B25/$B$15,0)</f>
        <v/>
      </c>
    </row>
    <row r="26" s="42">
      <c r="A26" s="6" t="inlineStr">
        <is>
          <t>Storage</t>
        </is>
      </c>
      <c r="B26" s="44">
        <f>SUMIF('Infra Cost'!$A$13:$A$48,A26,'Infra Cost'!$H$13:$H$48)</f>
        <v/>
      </c>
      <c r="C26" s="45">
        <f>IF($B$15&gt;0,B26/$B$15,0)</f>
        <v/>
      </c>
    </row>
    <row r="27" s="42">
      <c r="A27" s="6" t="inlineStr">
        <is>
          <t>Monitoring</t>
        </is>
      </c>
      <c r="B27" s="44">
        <f>SUMIF('Infra Cost'!$A$13:$A$48,A27,'Infra Cost'!$H$13:$H$48)</f>
        <v/>
      </c>
      <c r="C27" s="45">
        <f>IF($B$15&gt;0,B27/$B$15,0)</f>
        <v/>
      </c>
    </row>
    <row r="28" s="42">
      <c r="A28" s="6" t="inlineStr">
        <is>
          <t>Security</t>
        </is>
      </c>
      <c r="B28" s="44">
        <f>SUMIF('Infra Cost'!$A$13:$A$48,A28,'Infra Cost'!$H$13:$H$48)</f>
        <v/>
      </c>
      <c r="C28" s="45">
        <f>IF($B$15&gt;0,B28/$B$15,0)</f>
        <v/>
      </c>
    </row>
    <row r="29" s="42">
      <c r="A29" s="6" t="inlineStr">
        <is>
          <t>DNS</t>
        </is>
      </c>
      <c r="B29" s="44">
        <f>SUMIF('Infra Cost'!$A$13:$A$48,A29,'Infra Cost'!$H$13:$H$48)</f>
        <v/>
      </c>
      <c r="C29" s="45">
        <f>IF($B$15&gt;0,B29/$B$15,0)</f>
        <v/>
      </c>
    </row>
    <row r="30" s="42">
      <c r="A30" s="6" t="inlineStr">
        <is>
          <t>Registry</t>
        </is>
      </c>
      <c r="B30" s="44">
        <f>SUMIF('Infra Cost'!$A$13:$A$48,A30,'Infra Cost'!$H$13:$H$48)</f>
        <v/>
      </c>
      <c r="C30" s="45">
        <f>IF($B$15&gt;0,B30/$B$15,0)</f>
        <v/>
      </c>
    </row>
    <row r="31" s="42">
      <c r="A31" s="12" t="inlineStr">
        <is>
          <t>Total (check = AWS infrastructure)</t>
        </is>
      </c>
      <c r="B31" s="46">
        <f>SUM(B21:B30)</f>
        <v/>
      </c>
      <c r="C31" s="12">
        <f>IF(ABS(B31-B15)&lt;0.005,"OK","Check categories")</f>
        <v/>
      </c>
    </row>
    <row r="32" s="42"/>
    <row r="33" s="42">
      <c r="A33" s="3" t="inlineStr">
        <is>
          <t>Key points</t>
        </is>
      </c>
      <c r="B33" s="4" t="n"/>
      <c r="C33" s="4" t="n"/>
      <c r="D33" s="4" t="n"/>
      <c r="E33" s="4" t="n"/>
    </row>
    <row r="34" ht="15" customHeight="1" s="42">
      <c r="A34" s="48" t="inlineStr">
        <is>
          <t>- The share column shows how the cost splits between AWS hosting and the usage-based OpenAI API at this user count.</t>
        </is>
      </c>
    </row>
    <row r="35" ht="28" customHeight="1" s="42">
      <c r="A35" s="48" t="inlineStr">
        <is>
          <t>- Architecture: CloudFront + WAF in front, React app on S3, FastAPI on ECS Fargate behind an ALB, RDS PostgreSQL in private subnets, one NAT Gateway (with Elastic IP) for Sera's internet access. No EC2, ElastiCache or LangSmith.</t>
        </is>
      </c>
    </row>
    <row r="36" ht="28" customHeight="1" s="42">
      <c r="A36" s="48" t="inlineStr">
        <is>
          <t>- The NAT Gateway is the largest fixed network line. Running tasks in public subnets with a public IP instead removes it, at about $3.65 per task per month.</t>
        </is>
      </c>
    </row>
    <row r="37" ht="28" customHeight="1" s="42">
      <c r="A37" s="48" t="inlineStr">
        <is>
          <t>- 4 Fargate tasks need live chat/quote events delivered across tasks: add Postgres LISTEN/NOTIFY fan-out in websocket_manager.py before launch (no ElastiCache needed). Single-AZ RDS has no failover; Multi-AZ roughly doubles the database line.</t>
        </is>
      </c>
    </row>
    <row r="38" ht="28" customHeight="1" s="42">
      <c r="A38" s="48" t="inlineStr">
        <is>
          <t>- OpenAI API is pay-as-you-go (prepaid credits): no subscription fee. Set a project budget alert at the 'Suggested budget' on the AI Cost sheet.</t>
        </is>
      </c>
    </row>
    <row r="39" ht="28" customHeight="1" s="42">
      <c r="A39" s="48" t="inlineStr">
        <is>
          <t>- Token and traffic figures are planning estimates; replace them with OpenAI usage and AWS billing data after the first month.</t>
        </is>
      </c>
    </row>
    <row r="40" ht="28" customHeight="1" s="42">
      <c r="A40" s="48" t="inlineStr">
        <is>
          <t>- Excluded: domain registration, AWS Support plan, taxes, staging environments, engineering time, the Codex subscription, GitHub Actions minutes.</t>
        </is>
      </c>
    </row>
    <row r="41" ht="15" customHeight="1" s="42">
      <c r="A41" s="48" t="inlineStr">
        <is>
          <t>- How to create each AWS service and the OpenAI API key is on the Setup Guide sheet.</t>
        </is>
      </c>
    </row>
    <row r="42" s="42"/>
    <row r="43" s="42">
      <c r="A43" s="15" t="inlineStr">
        <is>
          <t>Legend</t>
        </is>
      </c>
    </row>
    <row r="44" s="42">
      <c r="A44" s="16" t="inlineStr">
        <is>
          <t>Blue text, yellow fill</t>
        </is>
      </c>
      <c r="B44" s="17" t="inlineStr">
        <is>
          <t>Editable input / assumption - change these</t>
        </is>
      </c>
    </row>
    <row r="45">
      <c r="A45" s="8" t="inlineStr">
        <is>
          <t>Black text</t>
        </is>
      </c>
      <c r="B45" s="17" t="inlineStr">
        <is>
          <t>Formula - do not overwrite</t>
        </is>
      </c>
    </row>
    <row r="46">
      <c r="A46" s="18" t="inlineStr">
        <is>
          <t>Green text</t>
        </is>
      </c>
      <c r="B46" s="17" t="inlineStr">
        <is>
          <t>Linked from another sheet</t>
        </is>
      </c>
    </row>
  </sheetData>
  <mergeCells count="8">
    <mergeCell ref="A39:E39"/>
    <mergeCell ref="A34:E34"/>
    <mergeCell ref="A35:E35"/>
    <mergeCell ref="A38:E38"/>
    <mergeCell ref="A41:E41"/>
    <mergeCell ref="A37:E37"/>
    <mergeCell ref="A36:E36"/>
    <mergeCell ref="A40:E4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ySplit="12" topLeftCell="A13" activePane="bottomLeft" state="frozen"/>
      <selection activeCell="A1" sqref="A1"/>
    </sheetView>
  </sheetViews>
  <sheetFormatPr baseColWidth="8" defaultRowHeight="15"/>
  <cols>
    <col width="14" customWidth="1" style="42" min="1" max="1"/>
    <col width="34" customWidth="1" style="42" min="2" max="2"/>
    <col width="44" customWidth="1" style="42" min="3" max="3"/>
    <col width="36" customWidth="1" style="42" min="4" max="4"/>
    <col width="15" customWidth="1" style="42" min="5" max="5"/>
    <col width="14" customWidth="1" style="42" min="6" max="7"/>
    <col width="16" customWidth="1" style="42" min="8" max="8"/>
    <col width="12" customWidth="1" style="42" min="9" max="9"/>
    <col width="52" customWidth="1" style="42" min="10" max="10"/>
  </cols>
  <sheetData>
    <row r="1" ht="18" customHeight="1" s="42">
      <c r="A1" s="1" t="inlineStr">
        <is>
          <t>AWS infrastructure cost - 10,000 monthly users</t>
        </is>
      </c>
    </row>
    <row r="2">
      <c r="A2" s="2" t="inlineStr">
        <is>
          <t>USD per month - us-east-1 - CloudFront + WAF, ECS Fargate (4 tasks), Single-AZ PostgreSQL, 1 NAT Gateway - unit prices: team TCO model (reviewed 12-Oct-2026) plus AWS list prices for Fargate, CloudFront, WAF and NAT</t>
        </is>
      </c>
    </row>
    <row r="4">
      <c r="A4" s="3" t="inlineStr">
        <is>
          <t>Infrastructure inputs</t>
        </is>
      </c>
      <c r="B4" s="4" t="n"/>
      <c r="C4" s="4" t="n"/>
      <c r="D4" s="4" t="n"/>
    </row>
    <row r="5">
      <c r="A5" s="5" t="inlineStr">
        <is>
          <t>Input</t>
        </is>
      </c>
      <c r="B5" s="5" t="inlineStr">
        <is>
          <t>Value</t>
        </is>
      </c>
      <c r="C5" s="5" t="inlineStr">
        <is>
          <t>Unit</t>
        </is>
      </c>
      <c r="D5" s="5" t="inlineStr">
        <is>
          <t>Basis</t>
        </is>
      </c>
    </row>
    <row r="6" ht="25.5" customHeight="1" s="42">
      <c r="A6" s="6" t="inlineStr">
        <is>
          <t>Monthly active users</t>
        </is>
      </c>
      <c r="B6" s="19" t="n">
        <v>10000</v>
      </c>
      <c r="C6" s="6" t="inlineStr">
        <is>
          <t>users</t>
        </is>
      </c>
      <c r="D6" s="20" t="inlineStr">
        <is>
          <t>Sizing target for this workbook (user request).</t>
        </is>
      </c>
    </row>
    <row r="7" ht="25.5" customHeight="1" s="42">
      <c r="A7" s="6" t="inlineStr">
        <is>
          <t>Billable hours per month</t>
        </is>
      </c>
      <c r="B7" s="19" t="n">
        <v>730</v>
      </c>
      <c r="C7" s="6" t="inlineStr">
        <is>
          <t>hours</t>
        </is>
      </c>
      <c r="D7" s="20" t="inlineStr">
        <is>
          <t>AWS monthly planning convention (24 x 365 / 12).</t>
        </is>
      </c>
    </row>
    <row r="8" ht="25.5" customHeight="1" s="42">
      <c r="A8" s="6" t="inlineStr">
        <is>
          <t>ECS Fargate API tasks</t>
        </is>
      </c>
      <c r="B8" s="19" t="n">
        <v>4</v>
      </c>
      <c r="C8" s="6" t="inlineStr">
        <is>
          <t>tasks</t>
        </is>
      </c>
      <c r="D8" s="20" t="inlineStr">
        <is>
          <t>1 vCPU / 2 GB each. Run 1 task until Postgres LISTEN/NOTIFY WebSocket fan-out is added; not load-tested.</t>
        </is>
      </c>
    </row>
    <row r="9" ht="25.5" customHeight="1" s="42">
      <c r="A9" s="6" t="inlineStr">
        <is>
          <t>CloudFront free data transfer out</t>
        </is>
      </c>
      <c r="B9" s="19" t="n">
        <v>1024</v>
      </c>
      <c r="C9" s="6" t="inlineStr">
        <is>
          <t>GB/month</t>
        </is>
      </c>
      <c r="D9" s="20" t="inlineStr">
        <is>
          <t>CloudFront always-free tier: 1 TB out and 10 million requests per month.</t>
        </is>
      </c>
    </row>
    <row r="11">
      <c r="A11" s="3" t="inlineStr">
        <is>
          <t>AWS services needed and monthly cost</t>
        </is>
      </c>
      <c r="B11" s="4" t="n"/>
      <c r="C11" s="4" t="n"/>
      <c r="D11" s="4" t="n"/>
      <c r="E11" s="4" t="n"/>
      <c r="F11" s="4" t="n"/>
      <c r="G11" s="4" t="n"/>
      <c r="H11" s="4" t="n"/>
      <c r="I11" s="4" t="n"/>
      <c r="J11" s="4" t="n"/>
    </row>
    <row r="12" ht="25.5" customHeight="1" s="42">
      <c r="A12" s="5" t="inlineStr">
        <is>
          <t>Category</t>
        </is>
      </c>
      <c r="B12" s="5" t="inlineStr">
        <is>
          <t>AWS service</t>
        </is>
      </c>
      <c r="C12" s="5" t="inlineStr">
        <is>
          <t>What it does for DriveDeal</t>
        </is>
      </c>
      <c r="D12" s="5" t="inlineStr">
        <is>
          <t>Configuration</t>
        </is>
      </c>
      <c r="E12" s="5" t="inlineStr">
        <is>
          <t>Billing unit</t>
        </is>
      </c>
      <c r="F12" s="5" t="inlineStr">
        <is>
          <t>Unit price (USD)</t>
        </is>
      </c>
      <c r="G12" s="5" t="inlineStr">
        <is>
          <t>Quantity / month</t>
        </is>
      </c>
      <c r="H12" s="5" t="inlineStr">
        <is>
          <t>Monthly cost (USD)</t>
        </is>
      </c>
      <c r="I12" s="5" t="inlineStr">
        <is>
          <t>Needed?</t>
        </is>
      </c>
      <c r="J12" s="5" t="inlineStr">
        <is>
          <t>Notes / source</t>
        </is>
      </c>
    </row>
    <row r="13" ht="28" customHeight="1" s="42">
      <c r="A13" s="6" t="inlineStr">
        <is>
          <t>Compute</t>
        </is>
      </c>
      <c r="B13" s="6" t="inlineStr">
        <is>
          <t>AWS Fargate - vCPU</t>
        </is>
      </c>
      <c r="C13" s="20" t="inlineStr">
        <is>
          <t>Runs the FastAPI API container. The React app is served from S3 through CloudFront.</t>
        </is>
      </c>
      <c r="D13" s="20" t="inlineStr">
        <is>
          <t>Linux/x86, 1 vCPU per task, private subnets, no public IP</t>
        </is>
      </c>
      <c r="E13" s="6" t="inlineStr">
        <is>
          <t>vCPU-hour</t>
        </is>
      </c>
      <c r="F13" s="49" t="n">
        <v>0.04048</v>
      </c>
      <c r="G13" s="50">
        <f>$B$8*$B$7*1</f>
        <v/>
      </c>
      <c r="H13" s="44">
        <f>F13*G13</f>
        <v/>
      </c>
      <c r="I13" s="6" t="inlineStr">
        <is>
          <t>Required</t>
        </is>
      </c>
      <c r="J13" s="23" t="inlineStr">
        <is>
          <t>Fargate pricing (aws.amazon.com/fargate/pricing). ARM64 (Graviton) is about 20% cheaper if the image is built for arm64.</t>
        </is>
      </c>
    </row>
    <row r="14" ht="25.5" customHeight="1" s="42">
      <c r="A14" s="6" t="inlineStr">
        <is>
          <t>Compute</t>
        </is>
      </c>
      <c r="B14" s="6" t="inlineStr">
        <is>
          <t>AWS Fargate - memory</t>
        </is>
      </c>
      <c r="C14" s="20" t="inlineStr">
        <is>
          <t>Memory for the API tasks.</t>
        </is>
      </c>
      <c r="D14" s="20" t="inlineStr">
        <is>
          <t>2 GB per task</t>
        </is>
      </c>
      <c r="E14" s="6" t="inlineStr">
        <is>
          <t>GB-hour</t>
        </is>
      </c>
      <c r="F14" s="49" t="n">
        <v>0.004445</v>
      </c>
      <c r="G14" s="50">
        <f>$B$8*$B$7*2</f>
        <v/>
      </c>
      <c r="H14" s="44">
        <f>F14*G14</f>
        <v/>
      </c>
      <c r="I14" s="6" t="inlineStr">
        <is>
          <t>Required</t>
        </is>
      </c>
      <c r="J14" s="23" t="inlineStr">
        <is>
          <t>Fargate pricing. 20 GB ephemeral storage per task is included.</t>
        </is>
      </c>
    </row>
    <row r="15" ht="28" customHeight="1" s="42">
      <c r="A15" s="6" t="inlineStr">
        <is>
          <t>Load balancer</t>
        </is>
      </c>
      <c r="B15" s="6" t="inlineStr">
        <is>
          <t>Application Load Balancer - hourly</t>
        </is>
      </c>
      <c r="C15" s="20" t="inlineStr">
        <is>
          <t>Routes /api/* traffic from CloudFront to healthy API tasks.</t>
        </is>
      </c>
      <c r="D15" s="20" t="inlineStr">
        <is>
          <t>Internet-facing, 2 AZs, accepts CloudFront traffic only, idle timeout 120 s</t>
        </is>
      </c>
      <c r="E15" s="6" t="inlineStr">
        <is>
          <t>ALB-hour</t>
        </is>
      </c>
      <c r="F15" s="49" t="n">
        <v>0.0225</v>
      </c>
      <c r="G15" s="50">
        <f>$B$7</f>
        <v/>
      </c>
      <c r="H15" s="44">
        <f>F15*G15</f>
        <v/>
      </c>
      <c r="I15" s="6" t="inlineStr">
        <is>
          <t>Required</t>
        </is>
      </c>
      <c r="J15" s="23" t="inlineStr">
        <is>
          <t>ELB pricing (aws.amazon.com/elasticloadbalancing/pricing).</t>
        </is>
      </c>
    </row>
    <row r="16" ht="28" customHeight="1" s="42">
      <c r="A16" s="6" t="inlineStr">
        <is>
          <t>Load balancer</t>
        </is>
      </c>
      <c r="B16" s="6" t="inlineStr">
        <is>
          <t>Application Load Balancer - LCU</t>
        </is>
      </c>
      <c r="C16" s="20" t="inlineStr">
        <is>
          <t>Traffic capacity units used by requests, SSE and WebSockets.</t>
        </is>
      </c>
      <c r="D16" s="20" t="inlineStr">
        <is>
          <t>Estimated 1,500 LCU-hours / month</t>
        </is>
      </c>
      <c r="E16" s="6" t="inlineStr">
        <is>
          <t>LCU-hour</t>
        </is>
      </c>
      <c r="F16" s="49" t="n">
        <v>0.008</v>
      </c>
      <c r="G16" s="51" t="n">
        <v>1500</v>
      </c>
      <c r="H16" s="44">
        <f>F16*G16</f>
        <v/>
      </c>
      <c r="I16" s="6" t="inlineStr">
        <is>
          <t>Required</t>
        </is>
      </c>
      <c r="J16" s="23" t="inlineStr">
        <is>
          <t>ELB pricing. Replace the quantity with CloudWatch ConsumedLCUs after launch.</t>
        </is>
      </c>
    </row>
    <row r="17" ht="28" customHeight="1" s="42">
      <c r="A17" s="6" t="inlineStr">
        <is>
          <t>Network</t>
        </is>
      </c>
      <c r="B17" s="6" t="inlineStr">
        <is>
          <t>Public IPv4 addresses (ALB)</t>
        </is>
      </c>
      <c r="C17" s="20" t="inlineStr">
        <is>
          <t>Public addresses the ALB needs in its two Availability Zones.</t>
        </is>
      </c>
      <c r="D17" s="20" t="inlineStr">
        <is>
          <t>2 addresses (one per AZ)</t>
        </is>
      </c>
      <c r="E17" s="6" t="inlineStr">
        <is>
          <t>IP-hour</t>
        </is>
      </c>
      <c r="F17" s="49" t="n">
        <v>0.005</v>
      </c>
      <c r="G17" s="50">
        <f>2*$B$7</f>
        <v/>
      </c>
      <c r="H17" s="44">
        <f>F17*G17</f>
        <v/>
      </c>
      <c r="I17" s="6" t="inlineStr">
        <is>
          <t>Required</t>
        </is>
      </c>
      <c r="J17" s="23" t="inlineStr">
        <is>
          <t>VPC pricing. AWS bills every public IPv4 hourly.</t>
        </is>
      </c>
    </row>
    <row r="18" ht="28" customHeight="1" s="42">
      <c r="A18" s="6" t="inlineStr">
        <is>
          <t>Network</t>
        </is>
      </c>
      <c r="B18" s="6" t="inlineStr">
        <is>
          <t>NAT Gateway - hourly</t>
        </is>
      </c>
      <c r="C18" s="20" t="inlineStr">
        <is>
          <t>Outbound internet for Sera from the private subnets (OpenAI API, car-site crawling).</t>
        </is>
      </c>
      <c r="D18" s="20" t="inlineStr">
        <is>
          <t>1 NAT Gateway shared by both AZs</t>
        </is>
      </c>
      <c r="E18" s="6" t="inlineStr">
        <is>
          <t>gateway-hour</t>
        </is>
      </c>
      <c r="F18" s="49" t="n">
        <v>0.045</v>
      </c>
      <c r="G18" s="50">
        <f>$B$7</f>
        <v/>
      </c>
      <c r="H18" s="44">
        <f>F18*G18</f>
        <v/>
      </c>
      <c r="I18" s="6" t="inlineStr">
        <is>
          <t>Required</t>
        </is>
      </c>
      <c r="J18" s="23" t="inlineStr">
        <is>
          <t>VPC pricing (aws.amazon.com/vpc/pricing). One NAT per AZ doubles this line for higher availability.</t>
        </is>
      </c>
    </row>
    <row r="19" ht="28" customHeight="1" s="42">
      <c r="A19" s="6" t="inlineStr">
        <is>
          <t>Network</t>
        </is>
      </c>
      <c r="B19" s="6" t="inlineStr">
        <is>
          <t>NAT Gateway - data processed</t>
        </is>
      </c>
      <c r="C19" s="20" t="inlineStr">
        <is>
          <t>Traffic through the NAT: OpenAI requests/responses and web crawling.</t>
        </is>
      </c>
      <c r="D19" s="20" t="inlineStr">
        <is>
          <t>Estimated 200 GB/month</t>
        </is>
      </c>
      <c r="E19" s="6" t="inlineStr">
        <is>
          <t>GB</t>
        </is>
      </c>
      <c r="F19" s="49" t="n">
        <v>0.045</v>
      </c>
      <c r="G19" s="51" t="n">
        <v>200</v>
      </c>
      <c r="H19" s="44">
        <f>F19*G19</f>
        <v/>
      </c>
      <c r="I19" s="6" t="inlineStr">
        <is>
          <t>Required</t>
        </is>
      </c>
      <c r="J19" s="23" t="inlineStr">
        <is>
          <t>VPC pricing. S3 traffic uses the gateway endpoint and is not billed here.</t>
        </is>
      </c>
    </row>
    <row r="20" ht="28" customHeight="1" s="42">
      <c r="A20" s="6" t="inlineStr">
        <is>
          <t>Network</t>
        </is>
      </c>
      <c r="B20" s="6" t="inlineStr">
        <is>
          <t>Elastic IP (NAT Gateway)</t>
        </is>
      </c>
      <c r="C20" s="20" t="inlineStr">
        <is>
          <t>Fixed outbound IP for the NAT; partners can allowlist it.</t>
        </is>
      </c>
      <c r="D20" s="20" t="inlineStr">
        <is>
          <t>1 address</t>
        </is>
      </c>
      <c r="E20" s="6" t="inlineStr">
        <is>
          <t>IP-hour</t>
        </is>
      </c>
      <c r="F20" s="49" t="n">
        <v>0.005</v>
      </c>
      <c r="G20" s="50">
        <f>$B$7</f>
        <v/>
      </c>
      <c r="H20" s="44">
        <f>F20*G20</f>
        <v/>
      </c>
      <c r="I20" s="6" t="inlineStr">
        <is>
          <t>Required</t>
        </is>
      </c>
      <c r="J20" s="23" t="inlineStr">
        <is>
          <t>VPC pricing. Elastic IPs are billed like any public IPv4.</t>
        </is>
      </c>
    </row>
    <row r="21" ht="28" customHeight="1" s="42">
      <c r="A21" s="6" t="inlineStr">
        <is>
          <t>Network</t>
        </is>
      </c>
      <c r="B21" s="6" t="inlineStr">
        <is>
          <t>S3 gateway VPC endpoint</t>
        </is>
      </c>
      <c r="C21" s="20" t="inlineStr">
        <is>
          <t>Private path from the API tasks to the uploads bucket; keeps S3 traffic off the NAT.</t>
        </is>
      </c>
      <c r="D21" s="20" t="inlineStr">
        <is>
          <t>1 gateway endpoint on the private route tables</t>
        </is>
      </c>
      <c r="E21" s="6" t="inlineStr">
        <is>
          <t>-</t>
        </is>
      </c>
      <c r="F21" s="49" t="n">
        <v>0</v>
      </c>
      <c r="G21" s="51" t="n">
        <v>1</v>
      </c>
      <c r="H21" s="44">
        <f>F21*G21</f>
        <v/>
      </c>
      <c r="I21" s="6" t="inlineStr">
        <is>
          <t>Required</t>
        </is>
      </c>
      <c r="J21" s="23" t="inlineStr">
        <is>
          <t>No charge for S3 gateway endpoints.</t>
        </is>
      </c>
    </row>
    <row r="22" ht="28" customHeight="1" s="42">
      <c r="A22" s="6" t="inlineStr">
        <is>
          <t>Network</t>
        </is>
      </c>
      <c r="B22" s="6" t="inlineStr">
        <is>
          <t>Cross-AZ data transfer</t>
        </is>
      </c>
      <c r="C22" s="20" t="inlineStr">
        <is>
          <t>Traffic between Availability Zones (ALB to tasks, tasks to RDS).</t>
        </is>
      </c>
      <c r="D22" s="20" t="inlineStr">
        <is>
          <t>About 50 billable GB/month</t>
        </is>
      </c>
      <c r="E22" s="6" t="inlineStr">
        <is>
          <t>GB</t>
        </is>
      </c>
      <c r="F22" s="49" t="n">
        <v>0.01</v>
      </c>
      <c r="G22" s="51" t="n">
        <v>50</v>
      </c>
      <c r="H22" s="44">
        <f>F22*G22</f>
        <v/>
      </c>
      <c r="I22" s="6" t="inlineStr">
        <is>
          <t>Required</t>
        </is>
      </c>
      <c r="J22" s="23" t="inlineStr">
        <is>
          <t>EC2 data-transfer pricing.</t>
        </is>
      </c>
    </row>
    <row r="23" ht="28" customHeight="1" s="42">
      <c r="A23" s="6" t="inlineStr">
        <is>
          <t>Network</t>
        </is>
      </c>
      <c r="B23" s="6" t="inlineStr">
        <is>
          <t>Amazon VPC (subnets, route tables, security groups)</t>
        </is>
      </c>
      <c r="C23" s="20" t="inlineStr">
        <is>
          <t>Private network for the ALB, NAT, ECS tasks and RDS.</t>
        </is>
      </c>
      <c r="D23" s="20" t="inlineStr">
        <is>
          <t>2 public subnets (ALB, NAT) + 2 private subnets (ECS tasks, RDS) in 2 AZs</t>
        </is>
      </c>
      <c r="E23" s="6" t="inlineStr">
        <is>
          <t>-</t>
        </is>
      </c>
      <c r="F23" s="49" t="n">
        <v>0</v>
      </c>
      <c r="G23" s="51" t="n">
        <v>1</v>
      </c>
      <c r="H23" s="44">
        <f>F23*G23</f>
        <v/>
      </c>
      <c r="I23" s="6" t="inlineStr">
        <is>
          <t>Required</t>
        </is>
      </c>
      <c r="J23" s="23" t="inlineStr">
        <is>
          <t>No charge for the VPC itself.</t>
        </is>
      </c>
    </row>
    <row r="24" ht="28" customHeight="1" s="42">
      <c r="A24" s="6" t="inlineStr">
        <is>
          <t>CDN</t>
        </is>
      </c>
      <c r="B24" s="6" t="inlineStr">
        <is>
          <t>Amazon CloudFront - data transfer out</t>
        </is>
      </c>
      <c r="C24" s="20" t="inlineStr">
        <is>
          <t>Single entry point for the React app, the API and WebSocket (one domain, HTTPS + wss).</t>
        </is>
      </c>
      <c r="D24" s="20" t="inlineStr">
        <is>
          <t>Estimated 500 GB/month; first 1,024 GB free</t>
        </is>
      </c>
      <c r="E24" s="6" t="inlineStr">
        <is>
          <t>GB</t>
        </is>
      </c>
      <c r="F24" s="49" t="n">
        <v>0.08500000000000001</v>
      </c>
      <c r="G24" s="50">
        <f>MAX(0,500-$B$9)</f>
        <v/>
      </c>
      <c r="H24" s="44">
        <f>F24*G24</f>
        <v/>
      </c>
      <c r="I24" s="6" t="inlineStr">
        <is>
          <t>Required</t>
        </is>
      </c>
      <c r="J24" s="23" t="inlineStr">
        <is>
          <t>CloudFront pricing (aws.amazon.com/cloudfront/pricing), North America. Origin fetches from the ALB and S3 are free.</t>
        </is>
      </c>
    </row>
    <row r="25" ht="28" customHeight="1" s="42">
      <c r="A25" s="6" t="inlineStr">
        <is>
          <t>CDN</t>
        </is>
      </c>
      <c r="B25" s="6" t="inlineStr">
        <is>
          <t>Amazon CloudFront - HTTPS requests</t>
        </is>
      </c>
      <c r="C25" s="20" t="inlineStr">
        <is>
          <t>Page, asset and API requests from browsers.</t>
        </is>
      </c>
      <c r="D25" s="20" t="inlineStr">
        <is>
          <t>Estimated 50 million requests/month; first 10 million free</t>
        </is>
      </c>
      <c r="E25" s="6" t="inlineStr">
        <is>
          <t>10,000 requests</t>
        </is>
      </c>
      <c r="F25" s="49" t="n">
        <v>0.01</v>
      </c>
      <c r="G25" s="50">
        <f>MAX(0,50-10)*100</f>
        <v/>
      </c>
      <c r="H25" s="44">
        <f>F25*G25</f>
        <v/>
      </c>
      <c r="I25" s="6" t="inlineStr">
        <is>
          <t>Required</t>
        </is>
      </c>
      <c r="J25" s="23" t="inlineStr">
        <is>
          <t>CloudFront pricing. Quantity is in 10,000s after the free tier.</t>
        </is>
      </c>
    </row>
    <row r="26" ht="28" customHeight="1" s="42">
      <c r="A26" s="6" t="inlineStr">
        <is>
          <t>Database</t>
        </is>
      </c>
      <c r="B26" s="6" t="inlineStr">
        <is>
          <t>Amazon RDS for PostgreSQL (db.t4g.small)</t>
        </is>
      </c>
      <c r="C26" s="20" t="inlineStr">
        <is>
          <t>Marketplace database: users, requests, quotes, chats, Sera memory and traces.</t>
        </is>
      </c>
      <c r="D26" s="20" t="inlineStr">
        <is>
          <t>Single-AZ, private subnets, not publicly accessible</t>
        </is>
      </c>
      <c r="E26" s="6" t="inlineStr">
        <is>
          <t>instance-hour</t>
        </is>
      </c>
      <c r="F26" s="49" t="n">
        <v>0.032</v>
      </c>
      <c r="G26" s="50">
        <f>$B$7</f>
        <v/>
      </c>
      <c r="H26" s="44">
        <f>F26*G26</f>
        <v/>
      </c>
      <c r="I26" s="6" t="inlineStr">
        <is>
          <t>Required</t>
        </is>
      </c>
      <c r="J26" s="23" t="inlineStr">
        <is>
          <t>RDS pricing (aws.amazon.com/rds/postgresql/pricing). No standby failover; Multi-AZ roughly doubles this line.</t>
        </is>
      </c>
    </row>
    <row r="27" ht="25.5" customHeight="1" s="42">
      <c r="A27" s="6" t="inlineStr">
        <is>
          <t>Database</t>
        </is>
      </c>
      <c r="B27" s="6" t="inlineStr">
        <is>
          <t>RDS gp3 storage</t>
        </is>
      </c>
      <c r="C27" s="20" t="inlineStr">
        <is>
          <t>Disk for the PostgreSQL database.</t>
        </is>
      </c>
      <c r="D27" s="20" t="inlineStr">
        <is>
          <t>200 GB gp3</t>
        </is>
      </c>
      <c r="E27" s="6" t="inlineStr">
        <is>
          <t>GB-month</t>
        </is>
      </c>
      <c r="F27" s="49" t="n">
        <v>0.115</v>
      </c>
      <c r="G27" s="51" t="n">
        <v>200</v>
      </c>
      <c r="H27" s="44">
        <f>F27*G27</f>
        <v/>
      </c>
      <c r="I27" s="6" t="inlineStr">
        <is>
          <t>Required</t>
        </is>
      </c>
      <c r="J27" s="23" t="inlineStr">
        <is>
          <t>RDS pricing. Monitor growth and free-storage alarms.</t>
        </is>
      </c>
    </row>
    <row r="28" ht="28" customHeight="1" s="42">
      <c r="A28" s="6" t="inlineStr">
        <is>
          <t>Database</t>
        </is>
      </c>
      <c r="B28" s="6" t="inlineStr">
        <is>
          <t>RDS backup storage beyond free allowance</t>
        </is>
      </c>
      <c r="C28" s="20" t="inlineStr">
        <is>
          <t>Automated backups and snapshots above the free allowance.</t>
        </is>
      </c>
      <c r="D28" s="20" t="inlineStr">
        <is>
          <t>7-day automated backups (fit in the free allowance)</t>
        </is>
      </c>
      <c r="E28" s="6" t="inlineStr">
        <is>
          <t>GB-month</t>
        </is>
      </c>
      <c r="F28" s="49" t="n">
        <v>0.095</v>
      </c>
      <c r="G28" s="51" t="n">
        <v>0</v>
      </c>
      <c r="H28" s="44">
        <f>F28*G28</f>
        <v/>
      </c>
      <c r="I28" s="6" t="inlineStr">
        <is>
          <t>Required</t>
        </is>
      </c>
      <c r="J28" s="23" t="inlineStr">
        <is>
          <t>RDS pricing. Free backup storage equals provisioned storage; only excess is billed.</t>
        </is>
      </c>
    </row>
    <row r="29" ht="28" customHeight="1" s="42">
      <c r="A29" s="6" t="inlineStr">
        <is>
          <t>Storage</t>
        </is>
      </c>
      <c r="B29" s="6" t="inlineStr">
        <is>
          <t>Amazon S3 Standard - uploads storage</t>
        </is>
      </c>
      <c r="C29" s="20" t="inlineStr">
        <is>
          <t>Quote photos, dealer documents, buyer driving licences, support attachments, Codex OAuth state.</t>
        </is>
      </c>
      <c r="D29" s="20" t="inlineStr">
        <is>
          <t>Private bucket, Block Public Access on, SSE-S3; about 2,000 GB stored</t>
        </is>
      </c>
      <c r="E29" s="6" t="inlineStr">
        <is>
          <t>GB-month</t>
        </is>
      </c>
      <c r="F29" s="49" t="n">
        <v>0.023</v>
      </c>
      <c r="G29" s="51" t="n">
        <v>2000</v>
      </c>
      <c r="H29" s="44">
        <f>F29*G29</f>
        <v/>
      </c>
      <c r="I29" s="6" t="inlineStr">
        <is>
          <t>Required</t>
        </is>
      </c>
      <c r="J29" s="23" t="inlineStr">
        <is>
          <t>S3 pricing (aws.amazon.com/s3/pricing). Includes versioned objects.</t>
        </is>
      </c>
    </row>
    <row r="30" ht="25.5" customHeight="1" s="42">
      <c r="A30" s="6" t="inlineStr">
        <is>
          <t>Storage</t>
        </is>
      </c>
      <c r="B30" s="6" t="inlineStr">
        <is>
          <t>Amazon S3 - PUT requests</t>
        </is>
      </c>
      <c r="C30" s="20" t="inlineStr">
        <is>
          <t>Uploads of photos and documents.</t>
        </is>
      </c>
      <c r="D30" s="20" t="inlineStr">
        <is>
          <t>Estimated 200,000 uploads/month</t>
        </is>
      </c>
      <c r="E30" s="6" t="inlineStr">
        <is>
          <t>1,000 requests</t>
        </is>
      </c>
      <c r="F30" s="49" t="n">
        <v>0.005</v>
      </c>
      <c r="G30" s="51" t="n">
        <v>200</v>
      </c>
      <c r="H30" s="44">
        <f>F30*G30</f>
        <v/>
      </c>
      <c r="I30" s="6" t="inlineStr">
        <is>
          <t>Required</t>
        </is>
      </c>
      <c r="J30" s="23" t="inlineStr">
        <is>
          <t>S3 pricing. Quantity is in thousands of requests.</t>
        </is>
      </c>
    </row>
    <row r="31" ht="25.5" customHeight="1" s="42">
      <c r="A31" s="6" t="inlineStr">
        <is>
          <t>Storage</t>
        </is>
      </c>
      <c r="B31" s="6" t="inlineStr">
        <is>
          <t>Amazon S3 - GET requests</t>
        </is>
      </c>
      <c r="C31" s="20" t="inlineStr">
        <is>
          <t>Downloads through short-lived pre-signed URLs.</t>
        </is>
      </c>
      <c r="D31" s="20" t="inlineStr">
        <is>
          <t>Estimated 10,000,000 downloads/month</t>
        </is>
      </c>
      <c r="E31" s="6" t="inlineStr">
        <is>
          <t>1,000 requests</t>
        </is>
      </c>
      <c r="F31" s="49" t="n">
        <v>0.0004</v>
      </c>
      <c r="G31" s="51" t="n">
        <v>10000</v>
      </c>
      <c r="H31" s="44">
        <f>F31*G31</f>
        <v/>
      </c>
      <c r="I31" s="6" t="inlineStr">
        <is>
          <t>Required</t>
        </is>
      </c>
      <c r="J31" s="23" t="inlineStr">
        <is>
          <t>S3 pricing. Quantity is in thousands of requests.</t>
        </is>
      </c>
    </row>
    <row r="32" ht="28" customHeight="1" s="42">
      <c r="A32" s="6" t="inlineStr">
        <is>
          <t>Storage</t>
        </is>
      </c>
      <c r="B32" s="6" t="inlineStr">
        <is>
          <t>Amazon S3 - frontend bucket</t>
        </is>
      </c>
      <c r="C32" s="20" t="inlineStr">
        <is>
          <t>React build files; private, readable only by CloudFront (Origin Access Control).</t>
        </is>
      </c>
      <c r="D32" s="20" t="inlineStr">
        <is>
          <t>About 1 GB including recent builds</t>
        </is>
      </c>
      <c r="E32" s="6" t="inlineStr">
        <is>
          <t>GB-month</t>
        </is>
      </c>
      <c r="F32" s="49" t="n">
        <v>0.023</v>
      </c>
      <c r="G32" s="51" t="n">
        <v>1</v>
      </c>
      <c r="H32" s="44">
        <f>F32*G32</f>
        <v/>
      </c>
      <c r="I32" s="6" t="inlineStr">
        <is>
          <t>Required</t>
        </is>
      </c>
      <c r="J32" s="23" t="inlineStr">
        <is>
          <t>S3 pricing. Requests come from CloudFront and are mostly cached.</t>
        </is>
      </c>
    </row>
    <row r="33" ht="28" customHeight="1" s="42">
      <c r="A33" s="6" t="inlineStr">
        <is>
          <t>Monitoring</t>
        </is>
      </c>
      <c r="B33" s="6" t="inlineStr">
        <is>
          <t>CloudWatch Logs - Infrequent Access</t>
        </is>
      </c>
      <c r="C33" s="20" t="inlineStr">
        <is>
          <t>Collects the API container's JSON logs from ECS.</t>
        </is>
      </c>
      <c r="D33" s="20" t="inlineStr">
        <is>
          <t>Planning estimate: 10 MB per monthly active user</t>
        </is>
      </c>
      <c r="E33" s="6" t="inlineStr">
        <is>
          <t>GB</t>
        </is>
      </c>
      <c r="F33" s="49" t="n">
        <v>0.25</v>
      </c>
      <c r="G33" s="50">
        <f>$B$6*0.01</f>
        <v/>
      </c>
      <c r="H33" s="44">
        <f>F33*G33</f>
        <v/>
      </c>
      <c r="I33" s="6" t="inlineStr">
        <is>
          <t>Required</t>
        </is>
      </c>
      <c r="J33" s="23" t="inlineStr">
        <is>
          <t>AWS Pricing Calculator, US East (N. Virginia): Infrequent Access ingestion $0.25/GB. 10 MB per user is a planning assumption.</t>
        </is>
      </c>
    </row>
    <row r="34" ht="28" customHeight="1" s="42">
      <c r="A34" s="6" t="inlineStr">
        <is>
          <t>Monitoring</t>
        </is>
      </c>
      <c r="B34" s="6" t="inlineStr">
        <is>
          <t>Amazon CloudWatch Logs - retention</t>
        </is>
      </c>
      <c r="C34" s="20" t="inlineStr">
        <is>
          <t>Stores compressed logs for troubleshooting.</t>
        </is>
      </c>
      <c r="D34" s="20" t="inlineStr">
        <is>
          <t>30-day retention; 15% of ingested volume stored (calculator estimate)</t>
        </is>
      </c>
      <c r="E34" s="6" t="inlineStr">
        <is>
          <t>GB-month</t>
        </is>
      </c>
      <c r="F34" s="49" t="n">
        <v>0.03</v>
      </c>
      <c r="G34" s="50">
        <f>G33*0.15</f>
        <v/>
      </c>
      <c r="H34" s="44">
        <f>F34*G34</f>
        <v/>
      </c>
      <c r="I34" s="6" t="inlineStr">
        <is>
          <t>Required</t>
        </is>
      </c>
      <c r="J34" s="23" t="inlineStr">
        <is>
          <t>AWS Pricing Calculator estimates stored volume at 15% of ingested volume; $0.03/GB-month.</t>
        </is>
      </c>
    </row>
    <row r="35" ht="25.5" customHeight="1" s="42">
      <c r="A35" s="6" t="inlineStr">
        <is>
          <t>Monitoring</t>
        </is>
      </c>
      <c r="B35" s="6" t="inlineStr">
        <is>
          <t>Amazon CloudWatch custom metrics</t>
        </is>
      </c>
      <c r="C35" s="20" t="inlineStr">
        <is>
          <t>App metrics (latency, Sera calls, errors).</t>
        </is>
      </c>
      <c r="D35" s="20" t="inlineStr">
        <is>
          <t>40 custom metrics</t>
        </is>
      </c>
      <c r="E35" s="6" t="inlineStr">
        <is>
          <t>metric-month</t>
        </is>
      </c>
      <c r="F35" s="49" t="n">
        <v>0.3</v>
      </c>
      <c r="G35" s="51" t="n">
        <v>40</v>
      </c>
      <c r="H35" s="44">
        <f>F35*G35</f>
        <v/>
      </c>
      <c r="I35" s="6" t="inlineStr">
        <is>
          <t>Required</t>
        </is>
      </c>
      <c r="J35" s="23" t="inlineStr">
        <is>
          <t>CloudWatch pricing.</t>
        </is>
      </c>
    </row>
    <row r="36" ht="28" customHeight="1" s="42">
      <c r="A36" s="6" t="inlineStr">
        <is>
          <t>Monitoring</t>
        </is>
      </c>
      <c r="B36" s="6" t="inlineStr">
        <is>
          <t>CloudWatch Container Insights (ECS)</t>
        </is>
      </c>
      <c r="C36" s="20" t="inlineStr">
        <is>
          <t>CPU, memory and task metrics for the ECS cluster and service.</t>
        </is>
      </c>
      <c r="D36" s="20" t="inlineStr">
        <is>
          <t>Budget estimate</t>
        </is>
      </c>
      <c r="E36" s="6" t="inlineStr">
        <is>
          <t>USD budget</t>
        </is>
      </c>
      <c r="F36" s="49" t="n">
        <v>1</v>
      </c>
      <c r="G36" s="51" t="n">
        <v>12</v>
      </c>
      <c r="H36" s="44">
        <f>F36*G36</f>
        <v/>
      </c>
      <c r="I36" s="6" t="inlineStr">
        <is>
          <t>Recommended</t>
        </is>
      </c>
      <c r="J36" s="23" t="inlineStr">
        <is>
          <t>Budget estimate, not measured usage. Replace with billing data after the first month.</t>
        </is>
      </c>
    </row>
    <row r="37" ht="28" customHeight="1" s="42">
      <c r="A37" s="6" t="inlineStr">
        <is>
          <t>Monitoring</t>
        </is>
      </c>
      <c r="B37" s="6" t="inlineStr">
        <is>
          <t>Amazon CloudWatch alarms</t>
        </is>
      </c>
      <c r="C37" s="20" t="inlineStr">
        <is>
          <t>Alerts: ALB 5xx, ECS running tasks, ECS CPU, RDS CPU / free storage.</t>
        </is>
      </c>
      <c r="D37" s="20" t="inlineStr">
        <is>
          <t>20 standard alarms</t>
        </is>
      </c>
      <c r="E37" s="6" t="inlineStr">
        <is>
          <t>alarm-month</t>
        </is>
      </c>
      <c r="F37" s="49" t="n">
        <v>0.1</v>
      </c>
      <c r="G37" s="51" t="n">
        <v>20</v>
      </c>
      <c r="H37" s="44">
        <f>F37*G37</f>
        <v/>
      </c>
      <c r="I37" s="6" t="inlineStr">
        <is>
          <t>Required</t>
        </is>
      </c>
      <c r="J37" s="23" t="inlineStr">
        <is>
          <t>CloudWatch pricing.</t>
        </is>
      </c>
    </row>
    <row r="38" ht="25.5" customHeight="1" s="42">
      <c r="A38" s="6" t="inlineStr">
        <is>
          <t>Security</t>
        </is>
      </c>
      <c r="B38" s="6" t="inlineStr">
        <is>
          <t>AWS WAF - web ACL</t>
        </is>
      </c>
      <c r="C38" s="20" t="inlineStr">
        <is>
          <t>Filters bad traffic in front of CloudFront.</t>
        </is>
      </c>
      <c r="D38" s="20" t="inlineStr">
        <is>
          <t>1 web ACL (CloudFront scope, us-east-1)</t>
        </is>
      </c>
      <c r="E38" s="6" t="inlineStr">
        <is>
          <t>web ACL-month</t>
        </is>
      </c>
      <c r="F38" s="49" t="n">
        <v>5</v>
      </c>
      <c r="G38" s="51" t="n">
        <v>1</v>
      </c>
      <c r="H38" s="44">
        <f>F38*G38</f>
        <v/>
      </c>
      <c r="I38" s="6" t="inlineStr">
        <is>
          <t>Required</t>
        </is>
      </c>
      <c r="J38" s="23" t="inlineStr">
        <is>
          <t>WAF pricing (aws.amazon.com/waf/pricing).</t>
        </is>
      </c>
    </row>
    <row r="39" ht="28" customHeight="1" s="42">
      <c r="A39" s="6" t="inlineStr">
        <is>
          <t>Security</t>
        </is>
      </c>
      <c r="B39" s="6" t="inlineStr">
        <is>
          <t>AWS WAF - rules</t>
        </is>
      </c>
      <c r="C39" s="20" t="inlineStr">
        <is>
          <t>AWS managed rule groups plus a rate limit.</t>
        </is>
      </c>
      <c r="D39" s="20" t="inlineStr">
        <is>
          <t>4 rules (3 managed rule groups + 1 rate rule)</t>
        </is>
      </c>
      <c r="E39" s="6" t="inlineStr">
        <is>
          <t>rule-month</t>
        </is>
      </c>
      <c r="F39" s="49" t="n">
        <v>1</v>
      </c>
      <c r="G39" s="51" t="n">
        <v>4</v>
      </c>
      <c r="H39" s="44">
        <f>F39*G39</f>
        <v/>
      </c>
      <c r="I39" s="6" t="inlineStr">
        <is>
          <t>Required</t>
        </is>
      </c>
      <c r="J39" s="23" t="inlineStr">
        <is>
          <t>WAF pricing.</t>
        </is>
      </c>
    </row>
    <row r="40" ht="25.5" customHeight="1" s="42">
      <c r="A40" s="6" t="inlineStr">
        <is>
          <t>Security</t>
        </is>
      </c>
      <c r="B40" s="6" t="inlineStr">
        <is>
          <t>AWS WAF - requests</t>
        </is>
      </c>
      <c r="C40" s="20" t="inlineStr">
        <is>
          <t>Every request CloudFront receives is inspected.</t>
        </is>
      </c>
      <c r="D40" s="20" t="inlineStr">
        <is>
          <t>Estimated 50 million requests/month</t>
        </is>
      </c>
      <c r="E40" s="6" t="inlineStr">
        <is>
          <t>million requests</t>
        </is>
      </c>
      <c r="F40" s="49" t="n">
        <v>0.6</v>
      </c>
      <c r="G40" s="51" t="n">
        <v>50</v>
      </c>
      <c r="H40" s="44">
        <f>F40*G40</f>
        <v/>
      </c>
      <c r="I40" s="6" t="inlineStr">
        <is>
          <t>Required</t>
        </is>
      </c>
      <c r="J40" s="23" t="inlineStr">
        <is>
          <t>WAF pricing.</t>
        </is>
      </c>
    </row>
    <row r="41" ht="28" customHeight="1" s="42">
      <c r="A41" s="6" t="inlineStr">
        <is>
          <t>Security</t>
        </is>
      </c>
      <c r="B41" s="6" t="inlineStr">
        <is>
          <t>AWS Secrets Manager - secrets</t>
        </is>
      </c>
      <c r="C41" s="20" t="inlineStr">
        <is>
          <t>JWT_SECRET_KEY, OPENAI_API_KEY (or Codex OAuth), RDS master password, CloudFront origin header.</t>
        </is>
      </c>
      <c r="D41" s="20" t="inlineStr">
        <is>
          <t>4 secrets (RDS manages its own password secret)</t>
        </is>
      </c>
      <c r="E41" s="6" t="inlineStr">
        <is>
          <t>secret-month</t>
        </is>
      </c>
      <c r="F41" s="49" t="n">
        <v>0.4</v>
      </c>
      <c r="G41" s="51" t="n">
        <v>4</v>
      </c>
      <c r="H41" s="44">
        <f>F41*G41</f>
        <v/>
      </c>
      <c r="I41" s="6" t="inlineStr">
        <is>
          <t>Required</t>
        </is>
      </c>
      <c r="J41" s="23" t="inlineStr">
        <is>
          <t>Secrets Manager pricing (aws.amazon.com/secrets-manager/pricing).</t>
        </is>
      </c>
    </row>
    <row r="42" ht="25.5" customHeight="1" s="42">
      <c r="A42" s="6" t="inlineStr">
        <is>
          <t>Security</t>
        </is>
      </c>
      <c r="B42" s="6" t="inlineStr">
        <is>
          <t>AWS Secrets Manager - API calls</t>
        </is>
      </c>
      <c r="C42" s="20" t="inlineStr">
        <is>
          <t>Read when ECS tasks start.</t>
        </is>
      </c>
      <c r="D42" s="20" t="inlineStr">
        <is>
          <t>About 5,000 calls/month</t>
        </is>
      </c>
      <c r="E42" s="6" t="inlineStr">
        <is>
          <t>10,000 calls</t>
        </is>
      </c>
      <c r="F42" s="49" t="n">
        <v>0.05</v>
      </c>
      <c r="G42" s="51" t="n">
        <v>0.5</v>
      </c>
      <c r="H42" s="44">
        <f>F42*G42</f>
        <v/>
      </c>
      <c r="I42" s="6" t="inlineStr">
        <is>
          <t>Required</t>
        </is>
      </c>
      <c r="J42" s="23" t="inlineStr">
        <is>
          <t>Secrets Manager pricing. Quantity is in 10,000s.</t>
        </is>
      </c>
    </row>
    <row r="43" ht="28" customHeight="1" s="42">
      <c r="A43" s="6" t="inlineStr">
        <is>
          <t>Security</t>
        </is>
      </c>
      <c r="B43" s="6" t="inlineStr">
        <is>
          <t>AWS Certificate Manager (ACM)</t>
        </is>
      </c>
      <c r="C43" s="20" t="inlineStr">
        <is>
          <t>Free public TLS certificates for CloudFront (us-east-1) and the ALB.</t>
        </is>
      </c>
      <c r="D43" s="20" t="inlineStr">
        <is>
          <t>2 public certificates, DNS-validated</t>
        </is>
      </c>
      <c r="E43" s="6" t="inlineStr">
        <is>
          <t>certificate</t>
        </is>
      </c>
      <c r="F43" s="49" t="n">
        <v>0</v>
      </c>
      <c r="G43" s="51" t="n">
        <v>2</v>
      </c>
      <c r="H43" s="44">
        <f>F43*G43</f>
        <v/>
      </c>
      <c r="I43" s="6" t="inlineStr">
        <is>
          <t>Required</t>
        </is>
      </c>
      <c r="J43" s="23" t="inlineStr">
        <is>
          <t>Public ACM certificates are free.</t>
        </is>
      </c>
    </row>
    <row r="44" ht="41" customHeight="1" s="42">
      <c r="A44" s="6" t="inlineStr">
        <is>
          <t>Security</t>
        </is>
      </c>
      <c r="B44" s="6" t="inlineStr">
        <is>
          <t>AWS IAM</t>
        </is>
      </c>
      <c r="C44" s="20" t="inlineStr">
        <is>
          <t>ECS task role (S3 uploads), task execution role (ECR, secrets, logs), GitHub Actions OIDC deploy role.</t>
        </is>
      </c>
      <c r="D44" s="20" t="inlineStr">
        <is>
          <t>3 roles + least-privilege policies; no AWS access keys</t>
        </is>
      </c>
      <c r="E44" s="6" t="inlineStr">
        <is>
          <t>-</t>
        </is>
      </c>
      <c r="F44" s="49" t="n">
        <v>0</v>
      </c>
      <c r="G44" s="51" t="n">
        <v>1</v>
      </c>
      <c r="H44" s="44">
        <f>F44*G44</f>
        <v/>
      </c>
      <c r="I44" s="6" t="inlineStr">
        <is>
          <t>Required</t>
        </is>
      </c>
      <c r="J44" s="23" t="inlineStr">
        <is>
          <t>No charge.</t>
        </is>
      </c>
    </row>
    <row r="45" ht="28" customHeight="1" s="42">
      <c r="A45" s="6" t="inlineStr">
        <is>
          <t>Security</t>
        </is>
      </c>
      <c r="B45" s="6" t="inlineStr">
        <is>
          <t>Amazon Inspector - ECR image scanning</t>
        </is>
      </c>
      <c r="C45" s="20" t="inlineStr">
        <is>
          <t>Scans the API container images pushed by CI for vulnerabilities.</t>
        </is>
      </c>
      <c r="D45" s="20" t="inlineStr">
        <is>
          <t>About 30 image pushes/month</t>
        </is>
      </c>
      <c r="E45" s="6" t="inlineStr">
        <is>
          <t>image scan</t>
        </is>
      </c>
      <c r="F45" s="49" t="n">
        <v>0.09</v>
      </c>
      <c r="G45" s="51" t="n">
        <v>30</v>
      </c>
      <c r="H45" s="44">
        <f>F45*G45</f>
        <v/>
      </c>
      <c r="I45" s="6" t="inlineStr">
        <is>
          <t>Recommended</t>
        </is>
      </c>
      <c r="J45" s="23" t="inlineStr">
        <is>
          <t>Inspector pricing. ECR basic scanning is a free alternative.</t>
        </is>
      </c>
    </row>
    <row r="46" ht="28" customHeight="1" s="42">
      <c r="A46" s="6" t="inlineStr">
        <is>
          <t>DNS</t>
        </is>
      </c>
      <c r="B46" s="6" t="inlineStr">
        <is>
          <t>Amazon Route 53 - hosted zone</t>
        </is>
      </c>
      <c r="C46" s="20" t="inlineStr">
        <is>
          <t>DNS for dealndrive.ai (registered at GoDaddy; nameservers moved to Route 53).</t>
        </is>
      </c>
      <c r="D46" s="20" t="inlineStr">
        <is>
          <t>1 public hosted zone</t>
        </is>
      </c>
      <c r="E46" s="6" t="inlineStr">
        <is>
          <t>zone-month</t>
        </is>
      </c>
      <c r="F46" s="49" t="n">
        <v>0.5</v>
      </c>
      <c r="G46" s="51" t="n">
        <v>1</v>
      </c>
      <c r="H46" s="44">
        <f>F46*G46</f>
        <v/>
      </c>
      <c r="I46" s="6" t="inlineStr">
        <is>
          <t>Required</t>
        </is>
      </c>
      <c r="J46" s="23" t="inlineStr">
        <is>
          <t>Route 53 pricing (aws.amazon.com/route53/pricing). Domain registration not included.</t>
        </is>
      </c>
    </row>
    <row r="47" ht="28" customHeight="1" s="42">
      <c r="A47" s="6" t="inlineStr">
        <is>
          <t>DNS</t>
        </is>
      </c>
      <c r="B47" s="6" t="inlineStr">
        <is>
          <t>Amazon Route 53 - queries</t>
        </is>
      </c>
      <c r="C47" s="20" t="inlineStr">
        <is>
          <t>DNS lookups (alias queries to CloudFront are free).</t>
        </is>
      </c>
      <c r="D47" s="20" t="inlineStr">
        <is>
          <t>About 2,000,000 billed queries</t>
        </is>
      </c>
      <c r="E47" s="6" t="inlineStr">
        <is>
          <t>million queries</t>
        </is>
      </c>
      <c r="F47" s="49" t="n">
        <v>0.4</v>
      </c>
      <c r="G47" s="51" t="n">
        <v>2</v>
      </c>
      <c r="H47" s="44">
        <f>F47*G47</f>
        <v/>
      </c>
      <c r="I47" s="6" t="inlineStr">
        <is>
          <t>Required</t>
        </is>
      </c>
      <c r="J47" s="23" t="inlineStr">
        <is>
          <t>Route 53 pricing. Quantity is in millions.</t>
        </is>
      </c>
    </row>
    <row r="48" ht="28" customHeight="1" s="42">
      <c r="A48" s="6" t="inlineStr">
        <is>
          <t>Registry</t>
        </is>
      </c>
      <c r="B48" s="6" t="inlineStr">
        <is>
          <t>Amazon ECR</t>
        </is>
      </c>
      <c r="C48" s="20" t="inlineStr">
        <is>
          <t>Stores the API images pushed by GitHub Actions (replaces Docker Hub).</t>
        </is>
      </c>
      <c r="D48" s="20" t="inlineStr">
        <is>
          <t>Lifecycle rule keeps the last 10 images, about 5 GB</t>
        </is>
      </c>
      <c r="E48" s="6" t="inlineStr">
        <is>
          <t>GB-month</t>
        </is>
      </c>
      <c r="F48" s="49" t="n">
        <v>0.1</v>
      </c>
      <c r="G48" s="51" t="n">
        <v>5</v>
      </c>
      <c r="H48" s="44">
        <f>F48*G48</f>
        <v/>
      </c>
      <c r="I48" s="6" t="inlineStr">
        <is>
          <t>Required</t>
        </is>
      </c>
      <c r="J48" s="23" t="inlineStr">
        <is>
          <t>ECR pricing (aws.amazon.com/ecr/pricing).</t>
        </is>
      </c>
    </row>
    <row r="49" s="42">
      <c r="A49" s="12" t="inlineStr">
        <is>
          <t>Total AWS infrastructure / month</t>
        </is>
      </c>
      <c r="B49" s="25" t="n"/>
      <c r="C49" s="25" t="n"/>
      <c r="D49" s="25" t="n"/>
      <c r="E49" s="25" t="n"/>
      <c r="F49" s="25" t="n"/>
      <c r="G49" s="25" t="n"/>
      <c r="H49" s="46">
        <f>SUM(H13:H48)</f>
        <v/>
      </c>
      <c r="I49" s="25" t="n"/>
      <c r="J49" s="25" t="n"/>
    </row>
    <row r="50" s="42">
      <c r="A50" s="26" t="inlineStr">
        <is>
          <t>Annual AWS infrastructure</t>
        </is>
      </c>
      <c r="H50" s="52">
        <f>H49*12</f>
        <v/>
      </c>
    </row>
    <row r="51" s="42">
      <c r="A51" s="26" t="inlineStr">
        <is>
          <t>AWS infrastructure per user / month</t>
        </is>
      </c>
      <c r="H51" s="52">
        <f>IF($B$6&gt;0,H49/$B$6,0)</f>
        <v/>
      </c>
    </row>
    <row r="52" s="42"/>
    <row r="53">
      <c r="A53" s="2" t="inlineStr">
        <is>
          <t>Not included: domain registration, AWS Support plan, taxes, GitHub Actions minutes, staging/dev environments, and engineering time.</t>
        </is>
      </c>
    </row>
    <row r="54">
      <c r="A54" s="2" t="inlineStr">
        <is>
          <t>Not used in this design: EC2 hosts, ElastiCache Redis (WebSocket fan-out moves to Postgres LISTEN/NOTIFY), LangSmith.</t>
        </is>
      </c>
    </row>
    <row r="55">
      <c r="A55" s="2" t="inlineStr">
        <is>
          <t>Quantities marked in blue are planning estimates; replace them with real CloudWatch / billing data after launch.</t>
        </is>
      </c>
    </row>
    <row r="56">
      <c r="A56" s="2" t="inlineStr">
        <is>
          <t>Unit prices are us-east-1 planning rates; confirm with the AWS Pricing Calculator before ordering.</t>
        </is>
      </c>
    </row>
    <row r="58">
      <c r="A58" s="15" t="inlineStr">
        <is>
          <t>Legend</t>
        </is>
      </c>
    </row>
    <row r="59">
      <c r="A59" s="16" t="inlineStr">
        <is>
          <t>Blue text, yellow fill</t>
        </is>
      </c>
      <c r="B59" s="17" t="inlineStr">
        <is>
          <t>Editable input / assumption - change these</t>
        </is>
      </c>
    </row>
    <row r="60">
      <c r="A60" s="8" t="inlineStr">
        <is>
          <t>Black text</t>
        </is>
      </c>
      <c r="B60" s="17" t="inlineStr">
        <is>
          <t>Formula - do not overwrite</t>
        </is>
      </c>
    </row>
    <row r="61">
      <c r="A61" s="18" t="inlineStr">
        <is>
          <t>Green text</t>
        </is>
      </c>
      <c r="B61" s="17" t="inlineStr">
        <is>
          <t>Linked from another sheet</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87"/>
  <sheetViews>
    <sheetView showGridLines="0" workbookViewId="0">
      <pane ySplit="3" topLeftCell="A4" activePane="bottomLeft" state="frozen"/>
      <selection activeCell="A1" sqref="A1"/>
    </sheetView>
  </sheetViews>
  <sheetFormatPr baseColWidth="8" defaultRowHeight="15"/>
  <cols>
    <col width="46" customWidth="1" style="42" min="1" max="1"/>
    <col width="16" customWidth="1" style="42" min="2" max="3"/>
    <col width="22" customWidth="1" style="42" min="4" max="4"/>
    <col width="18" customWidth="1" style="42" min="5" max="5"/>
    <col width="40" customWidth="1" style="42" min="6" max="6"/>
    <col width="18" customWidth="1" style="42" min="7" max="7"/>
  </cols>
  <sheetData>
    <row r="1" ht="18" customHeight="1" s="42">
      <c r="A1" s="1" t="inlineStr">
        <is>
          <t>OpenAI API cost - Sera AI advisor - 10,000 monthly users - GPT-6 Luna</t>
        </is>
      </c>
    </row>
    <row r="2">
      <c r="A2" s="2" t="inlineStr">
        <is>
          <t>USD per month - OpenAI API pay-as-you-go - workload and token assumptions from DriveDeal-TCO (1).xlsx (team TCO model, rates reviewed 12-Oct-2026)</t>
        </is>
      </c>
    </row>
    <row r="4">
      <c r="A4" s="3" t="inlineStr">
        <is>
          <t>Workload inputs</t>
        </is>
      </c>
      <c r="B4" s="4" t="n"/>
      <c r="C4" s="4" t="n"/>
      <c r="D4" s="4" t="n"/>
    </row>
    <row r="5">
      <c r="A5" s="5" t="inlineStr">
        <is>
          <t>Input</t>
        </is>
      </c>
      <c r="B5" s="5" t="inlineStr">
        <is>
          <t>Value</t>
        </is>
      </c>
      <c r="C5" s="5" t="inlineStr">
        <is>
          <t>Unit</t>
        </is>
      </c>
      <c r="D5" s="5" t="inlineStr">
        <is>
          <t>Basis</t>
        </is>
      </c>
    </row>
    <row r="6" ht="38.25" customHeight="1" s="42">
      <c r="A6" s="6" t="inlineStr">
        <is>
          <t>Monthly active users</t>
        </is>
      </c>
      <c r="B6" s="7">
        <f>'Infra Cost'!B6</f>
        <v/>
      </c>
      <c r="C6" s="6" t="inlineStr">
        <is>
          <t>users</t>
        </is>
      </c>
      <c r="D6" s="20" t="inlineStr">
        <is>
          <t>Linked from Infra Cost so both sheets size the same user count.</t>
        </is>
      </c>
    </row>
    <row r="7" ht="38.25" customHeight="1" s="42">
      <c r="A7" s="6" t="inlineStr">
        <is>
          <t>Car requests per user / month</t>
        </is>
      </c>
      <c r="B7" s="19" t="n">
        <v>4</v>
      </c>
      <c r="C7" s="6" t="inlineStr">
        <is>
          <t>requests</t>
        </is>
      </c>
      <c r="D7" s="20" t="inlineStr">
        <is>
          <t>Team planning target: four published requests per user.</t>
        </is>
      </c>
    </row>
    <row r="8" ht="25.5" customHeight="1" s="42">
      <c r="A8" s="6" t="inlineStr">
        <is>
          <t>AI messages per car request</t>
        </is>
      </c>
      <c r="B8" s="19" t="n">
        <v>2</v>
      </c>
      <c r="C8" s="6" t="inlineStr">
        <is>
          <t>messages</t>
        </is>
      </c>
      <c r="D8" s="20" t="inlineStr">
        <is>
          <t>Team planning assumption.</t>
        </is>
      </c>
    </row>
    <row r="9" ht="25.5" customHeight="1" s="42">
      <c r="A9" s="6" t="inlineStr">
        <is>
          <t>Additional AI messages per user / month</t>
        </is>
      </c>
      <c r="B9" s="19" t="n">
        <v>0</v>
      </c>
      <c r="C9" s="6" t="inlineStr">
        <is>
          <t>messages</t>
        </is>
      </c>
      <c r="D9" s="20" t="inlineStr">
        <is>
          <t>Advice or research not tied to a posted request.</t>
        </is>
      </c>
    </row>
    <row r="10" ht="38.25" customHeight="1" s="42">
      <c r="A10" s="6" t="inlineStr">
        <is>
          <t>Guided / no-model share</t>
        </is>
      </c>
      <c r="B10" s="53" t="n">
        <v>0.2</v>
      </c>
      <c r="C10" s="6" t="inlineStr">
        <is>
          <t>% of messages</t>
        </is>
      </c>
      <c r="D10" s="20" t="inlineStr">
        <is>
          <t>Guided cards and publish confirmations make no model call.</t>
        </is>
      </c>
    </row>
    <row r="11" ht="25.5" customHeight="1" s="42">
      <c r="A11" s="6" t="inlineStr">
        <is>
          <t>Small-talk share</t>
        </is>
      </c>
      <c r="B11" s="53" t="n">
        <v>0.1</v>
      </c>
      <c r="C11" s="6" t="inlineStr">
        <is>
          <t>% of messages</t>
        </is>
      </c>
      <c r="D11" s="20" t="inlineStr">
        <is>
          <t>Greetings and off-topic replies: one model call.</t>
        </is>
      </c>
    </row>
    <row r="12" ht="25.5" customHeight="1" s="42">
      <c r="A12" s="6" t="inlineStr">
        <is>
          <t>Catalog advice share of remaining</t>
        </is>
      </c>
      <c r="B12" s="53" t="n">
        <v>0.5</v>
      </c>
      <c r="C12" s="6" t="inlineStr">
        <is>
          <t>%</t>
        </is>
      </c>
      <c r="D12" s="20" t="inlineStr">
        <is>
          <t>Remaining messages split 50 / 25 / 25.</t>
        </is>
      </c>
    </row>
    <row r="13" ht="38.25" customHeight="1" s="42">
      <c r="A13" s="6" t="inlineStr">
        <is>
          <t>Direct web research share of remaining</t>
        </is>
      </c>
      <c r="B13" s="53" t="n">
        <v>0.25</v>
      </c>
      <c r="C13" s="6" t="inlineStr">
        <is>
          <t>%</t>
        </is>
      </c>
      <c r="D13" s="20" t="inlineStr">
        <is>
          <t>Explicit research skips classifier and orchestrator.</t>
        </is>
      </c>
    </row>
    <row r="14" ht="25.5" customHeight="1" s="42">
      <c r="A14" s="6" t="inlineStr">
        <is>
          <t>Per-car research share of remaining</t>
        </is>
      </c>
      <c r="B14" s="53" t="n">
        <v>0.25</v>
      </c>
      <c r="C14" s="6" t="inlineStr">
        <is>
          <t>%</t>
        </is>
      </c>
      <c r="D14" s="20" t="inlineStr">
        <is>
          <t>Catalog shortlist followed by research per vehicle.</t>
        </is>
      </c>
    </row>
    <row r="15" ht="38.25" customHeight="1" s="42">
      <c r="A15" s="6" t="inlineStr">
        <is>
          <t>Request-extraction probability</t>
        </is>
      </c>
      <c r="B15" s="53" t="n">
        <v>0.3</v>
      </c>
      <c r="C15" s="6" t="inlineStr">
        <is>
          <t>probability</t>
        </is>
      </c>
      <c r="D15" s="20" t="inlineStr">
        <is>
          <t>Extra call when required request fields are missing.</t>
        </is>
      </c>
    </row>
    <row r="16" ht="25.5" customHeight="1" s="42">
      <c r="A16" s="6" t="inlineStr">
        <is>
          <t>Catalog planning probability</t>
        </is>
      </c>
      <c r="B16" s="53" t="n">
        <v>0.3</v>
      </c>
      <c r="C16" s="6" t="inlineStr">
        <is>
          <t>probability</t>
        </is>
      </c>
      <c r="D16" s="20" t="inlineStr">
        <is>
          <t>Named models skip the planning call.</t>
        </is>
      </c>
    </row>
    <row r="17" ht="25.5" customHeight="1" s="42">
      <c r="A17" s="6" t="inlineStr">
        <is>
          <t>Vehicles per per-car research message</t>
        </is>
      </c>
      <c r="B17" s="19" t="n">
        <v>3</v>
      </c>
      <c r="C17" s="6" t="inlineStr">
        <is>
          <t>vehicles</t>
        </is>
      </c>
      <c r="D17" s="20" t="inlineStr">
        <is>
          <t>Average; code caps the shortlist at six.</t>
        </is>
      </c>
    </row>
    <row r="18">
      <c r="A18" s="6" t="inlineStr">
        <is>
          <t>Pages extracted per researched vehicle</t>
        </is>
      </c>
      <c r="B18" s="19" t="n">
        <v>1</v>
      </c>
      <c r="C18" s="6" t="inlineStr">
        <is>
          <t>pages</t>
        </is>
      </c>
      <c r="D18" s="20" t="inlineStr">
        <is>
          <t>First usable page.</t>
        </is>
      </c>
    </row>
    <row r="19" ht="25.5" customHeight="1" s="42">
      <c r="A19" s="6" t="inlineStr">
        <is>
          <t>Direct research needing page extraction</t>
        </is>
      </c>
      <c r="B19" s="53" t="n">
        <v>0.1</v>
      </c>
      <c r="C19" s="6" t="inlineStr">
        <is>
          <t>probability</t>
        </is>
      </c>
      <c r="D19" s="20" t="inlineStr">
        <is>
          <t>Hosted search usually answers directly.</t>
        </is>
      </c>
    </row>
    <row r="20" ht="25.5" customHeight="1" s="42">
      <c r="A20" s="6" t="inlineStr">
        <is>
          <t>Direct research needing composition</t>
        </is>
      </c>
      <c r="B20" s="53" t="n">
        <v>0.1</v>
      </c>
      <c r="C20" s="6" t="inlineStr">
        <is>
          <t>probability</t>
        </is>
      </c>
      <c r="D20" s="20" t="inlineStr">
        <is>
          <t>Conditional final composition call.</t>
        </is>
      </c>
    </row>
    <row r="21" ht="25.5" customHeight="1" s="42">
      <c r="A21" s="6" t="inlineStr">
        <is>
          <t>Retry / repeat-work allowance</t>
        </is>
      </c>
      <c r="B21" s="53" t="n">
        <v>0.05</v>
      </c>
      <c r="C21" s="6" t="inlineStr">
        <is>
          <t>%</t>
        </is>
      </c>
      <c r="D21" s="20" t="inlineStr">
        <is>
          <t>Budget allowance for retries.</t>
        </is>
      </c>
    </row>
    <row r="22" ht="25.5" customHeight="1" s="42">
      <c r="A22" s="6" t="inlineStr">
        <is>
          <t>Search content per hosted search call</t>
        </is>
      </c>
      <c r="B22" s="19" t="n">
        <v>4000</v>
      </c>
      <c r="C22" s="6" t="inlineStr">
        <is>
          <t>input tokens</t>
        </is>
      </c>
      <c r="D22" s="20" t="inlineStr">
        <is>
          <t>Retrieved web content added to the prompt.</t>
        </is>
      </c>
    </row>
    <row r="23" ht="25.5" customHeight="1" s="42">
      <c r="A23" s="6" t="inlineStr">
        <is>
          <t>Cached input share</t>
        </is>
      </c>
      <c r="B23" s="53" t="n">
        <v>0</v>
      </c>
      <c r="C23" s="6" t="inlineStr">
        <is>
          <t>%</t>
        </is>
      </c>
      <c r="D23" s="20" t="inlineStr">
        <is>
          <t>No caching savings assumed until observed.</t>
        </is>
      </c>
    </row>
    <row r="25">
      <c r="A25" s="3" t="inlineStr">
        <is>
          <t>OpenAI API prices</t>
        </is>
      </c>
      <c r="B25" s="4" t="n"/>
      <c r="C25" s="4" t="n"/>
      <c r="D25" s="4" t="n"/>
    </row>
    <row r="26">
      <c r="A26" s="5" t="inlineStr">
        <is>
          <t>Price</t>
        </is>
      </c>
      <c r="B26" s="5" t="inlineStr">
        <is>
          <t>Value</t>
        </is>
      </c>
      <c r="C26" s="5" t="inlineStr">
        <is>
          <t>Unit</t>
        </is>
      </c>
      <c r="D26" s="5" t="inlineStr">
        <is>
          <t>Basis</t>
        </is>
      </c>
    </row>
    <row r="27" ht="76.5" customHeight="1" s="42">
      <c r="A27" s="6" t="inlineStr">
        <is>
          <t>Model input (GPT-6 Luna)</t>
        </is>
      </c>
      <c r="B27" s="54" t="n">
        <v>0.1</v>
      </c>
      <c r="C27" s="6" t="inlineStr">
        <is>
          <t>USD / 1M tokens</t>
        </is>
      </c>
      <c r="D27" s="20" t="inlineStr">
        <is>
          <t>OpenAI API pricing, reviewed 12-Oct-2026 (developers.openai.com/api/docs/pricing). Set OPENAI_MODEL to the GPT-6 Luna model ID.</t>
        </is>
      </c>
    </row>
    <row r="28" ht="25.5" customHeight="1" s="42">
      <c r="A28" s="6" t="inlineStr">
        <is>
          <t>Model output incl. reasoning (GPT-6 Luna)</t>
        </is>
      </c>
      <c r="B28" s="54" t="n">
        <v>0.5</v>
      </c>
      <c r="C28" s="6" t="inlineStr">
        <is>
          <t>USD / 1M tokens</t>
        </is>
      </c>
      <c r="D28" s="20" t="inlineStr">
        <is>
          <t>OpenAI API pricing, reviewed 12-Oct-2026.</t>
        </is>
      </c>
    </row>
    <row r="29" ht="25.5" customHeight="1" s="42">
      <c r="A29" s="6" t="inlineStr">
        <is>
          <t>Cached input (GPT-6 Luna)</t>
        </is>
      </c>
      <c r="B29" s="54" t="n">
        <v>0.01</v>
      </c>
      <c r="C29" s="6" t="inlineStr">
        <is>
          <t>USD / 1M tokens</t>
        </is>
      </c>
      <c r="D29" s="20" t="inlineStr">
        <is>
          <t>OpenAI API pricing, reviewed 12-Oct-2026.</t>
        </is>
      </c>
    </row>
    <row r="30" ht="51" customHeight="1" s="42">
      <c r="A30" s="6" t="inlineStr">
        <is>
          <t>Hosted web search tool call</t>
        </is>
      </c>
      <c r="B30" s="54" t="n">
        <v>0.01</v>
      </c>
      <c r="C30" s="6" t="inlineStr">
        <is>
          <t>USD / call</t>
        </is>
      </c>
      <c r="D30" s="20" t="inlineStr">
        <is>
          <t>OpenAI API pricing ($10 per 1,000 calls). Search content also bills as input tokens.</t>
        </is>
      </c>
    </row>
    <row r="31" ht="38.25" customHeight="1" s="42">
      <c r="A31" s="6" t="inlineStr">
        <is>
          <t>Budget cap multiplier</t>
        </is>
      </c>
      <c r="B31" s="30" t="n">
        <v>2</v>
      </c>
      <c r="C31" s="6" t="inlineStr">
        <is>
          <t>x estimate</t>
        </is>
      </c>
      <c r="D31" s="20" t="inlineStr">
        <is>
          <t>Headroom for the OpenAI project budget alert/limit (team choice).</t>
        </is>
      </c>
    </row>
    <row r="33">
      <c r="A33" s="3" t="inlineStr">
        <is>
          <t>Per-call token estimates</t>
        </is>
      </c>
      <c r="B33" s="4" t="n"/>
      <c r="C33" s="4" t="n"/>
      <c r="D33" s="4" t="n"/>
      <c r="E33" s="4" t="n"/>
      <c r="F33" s="4" t="n"/>
    </row>
    <row r="34" ht="25.5" customHeight="1" s="42">
      <c r="A34" s="5" t="inlineStr">
        <is>
          <t>Model call</t>
        </is>
      </c>
      <c r="B34" s="5" t="inlineStr">
        <is>
          <t>Input tokens</t>
        </is>
      </c>
      <c r="C34" s="5" t="inlineStr">
        <is>
          <t>Output tokens</t>
        </is>
      </c>
      <c r="D34" s="5" t="inlineStr">
        <is>
          <t>Measured input (ref.)</t>
        </is>
      </c>
      <c r="E34" s="5" t="inlineStr">
        <is>
          <t>Measured output (ref.)</t>
        </is>
      </c>
      <c r="F34" s="5" t="inlineStr">
        <is>
          <t>Basis</t>
        </is>
      </c>
    </row>
    <row r="35">
      <c r="A35" s="6" t="inlineStr">
        <is>
          <t>Classifier</t>
        </is>
      </c>
      <c r="B35" s="19" t="n">
        <v>450</v>
      </c>
      <c r="C35" s="19" t="n">
        <v>60</v>
      </c>
      <c r="D35" s="31" t="n">
        <v>258</v>
      </c>
      <c r="E35" s="31" t="n">
        <v>10</v>
      </c>
      <c r="F35" s="23" t="inlineStr">
        <is>
          <t>Team planning estimate (used in the cost).</t>
        </is>
      </c>
    </row>
    <row r="36">
      <c r="A36" s="6" t="inlineStr">
        <is>
          <t>Orchestrator</t>
        </is>
      </c>
      <c r="B36" s="19" t="n">
        <v>1400</v>
      </c>
      <c r="C36" s="19" t="n">
        <v>300</v>
      </c>
      <c r="D36" s="31" t="n">
        <v>1527</v>
      </c>
      <c r="E36" s="31" t="n">
        <v>63</v>
      </c>
      <c r="F36" s="23" t="inlineStr">
        <is>
          <t>Team planning estimate (used in the cost).</t>
        </is>
      </c>
    </row>
    <row r="37">
      <c r="A37" s="6" t="inlineStr">
        <is>
          <t>Catalog tool plan</t>
        </is>
      </c>
      <c r="B37" s="19" t="n">
        <v>1600</v>
      </c>
      <c r="C37" s="19" t="n">
        <v>500</v>
      </c>
      <c r="D37" s="31" t="n">
        <v>2015</v>
      </c>
      <c r="E37" s="31" t="n">
        <v>46</v>
      </c>
      <c r="F37" s="23" t="inlineStr">
        <is>
          <t>Team planning estimate (used in the cost).</t>
        </is>
      </c>
    </row>
    <row r="38">
      <c r="A38" s="6" t="inlineStr">
        <is>
          <t>Page / spec extraction</t>
        </is>
      </c>
      <c r="B38" s="19" t="n">
        <v>11250</v>
      </c>
      <c r="C38" s="19" t="n">
        <v>1200</v>
      </c>
      <c r="D38" s="31" t="n">
        <v>7067</v>
      </c>
      <c r="E38" s="31" t="n">
        <v>439</v>
      </c>
      <c r="F38" s="23" t="inlineStr">
        <is>
          <t>Team planning estimate (used in the cost).</t>
        </is>
      </c>
    </row>
    <row r="39">
      <c r="A39" s="6" t="inlineStr">
        <is>
          <t>Request extraction</t>
        </is>
      </c>
      <c r="B39" s="19" t="n">
        <v>810</v>
      </c>
      <c r="C39" s="19" t="n">
        <v>400</v>
      </c>
      <c r="D39" s="31" t="inlineStr">
        <is>
          <t>n/a</t>
        </is>
      </c>
      <c r="E39" s="31" t="inlineStr">
        <is>
          <t>n/a</t>
        </is>
      </c>
      <c r="F39" s="23" t="inlineStr">
        <is>
          <t>Team planning estimate (used in the cost).</t>
        </is>
      </c>
    </row>
    <row r="40">
      <c r="A40" s="6" t="inlineStr">
        <is>
          <t>Answer composition</t>
        </is>
      </c>
      <c r="B40" s="19" t="n">
        <v>3200</v>
      </c>
      <c r="C40" s="19" t="n">
        <v>2000</v>
      </c>
      <c r="D40" s="31" t="n">
        <v>2615</v>
      </c>
      <c r="E40" s="31" t="n">
        <v>201</v>
      </c>
      <c r="F40" s="23" t="inlineStr">
        <is>
          <t>Team planning estimate (used in the cost).</t>
        </is>
      </c>
    </row>
    <row r="41" ht="36" customHeight="1" s="42">
      <c r="A41" s="6" t="inlineStr">
        <is>
          <t>Hosted web search call (excl. search content)</t>
        </is>
      </c>
      <c r="B41" s="19" t="n">
        <v>600</v>
      </c>
      <c r="C41" s="19" t="n">
        <v>1500</v>
      </c>
      <c r="D41" s="31" t="inlineStr">
        <is>
          <t>n/a</t>
        </is>
      </c>
      <c r="E41" s="31" t="n">
        <v>604</v>
      </c>
      <c r="F41" s="23" t="inlineStr">
        <is>
          <t>Team estimate; measured total input incl. search content was about 11,300 tokens (see note).</t>
        </is>
      </c>
    </row>
    <row r="42">
      <c r="A42" s="6" t="inlineStr">
        <is>
          <t>Small talk</t>
        </is>
      </c>
      <c r="B42" s="19" t="n">
        <v>500</v>
      </c>
      <c r="C42" s="19" t="n">
        <v>200</v>
      </c>
      <c r="D42" s="31" t="n">
        <v>580</v>
      </c>
      <c r="E42" s="31" t="n">
        <v>34</v>
      </c>
      <c r="F42" s="23" t="inlineStr">
        <is>
          <t>Team planning estimate (used in the cost).</t>
        </is>
      </c>
    </row>
    <row r="43">
      <c r="A43" s="2" t="inlineStr">
        <is>
          <t>Measured columns = averages from Sera production traces (ai_trace_spans, 14 days to 13-Oct-2026), for reference only. Measured output is lower than planned on most calls; measured hosted-search input (~11,300 incl. content) is higher than planned (600 + 4,000).</t>
        </is>
      </c>
    </row>
    <row r="45">
      <c r="A45" s="3" t="inlineStr">
        <is>
          <t>Calls and tokens per AI message, by route</t>
        </is>
      </c>
      <c r="B45" s="4" t="n"/>
      <c r="C45" s="4" t="n"/>
      <c r="D45" s="4" t="n"/>
      <c r="E45" s="4" t="n"/>
      <c r="F45" s="4" t="n"/>
      <c r="G45" s="4" t="n"/>
    </row>
    <row r="46">
      <c r="A46" s="5" t="inlineStr">
        <is>
          <t>Message route</t>
        </is>
      </c>
      <c r="B46" s="5" t="inlineStr">
        <is>
          <t>Share</t>
        </is>
      </c>
      <c r="C46" s="5" t="inlineStr">
        <is>
          <t>Model calls</t>
        </is>
      </c>
      <c r="D46" s="5" t="inlineStr">
        <is>
          <t>Input tokens</t>
        </is>
      </c>
      <c r="E46" s="5" t="inlineStr">
        <is>
          <t>Output tokens</t>
        </is>
      </c>
      <c r="F46" s="5" t="inlineStr">
        <is>
          <t>Search calls</t>
        </is>
      </c>
      <c r="G46" s="5" t="inlineStr">
        <is>
          <t>Page extractions</t>
        </is>
      </c>
    </row>
    <row r="47">
      <c r="A47" s="6" t="inlineStr">
        <is>
          <t>Guided / no model</t>
        </is>
      </c>
      <c r="B47" s="45">
        <f>$B$10</f>
        <v/>
      </c>
      <c r="C47" s="50">
        <f>0</f>
        <v/>
      </c>
      <c r="D47" s="50">
        <f>0</f>
        <v/>
      </c>
      <c r="E47" s="50">
        <f>0</f>
        <v/>
      </c>
      <c r="F47" s="50">
        <f>0</f>
        <v/>
      </c>
      <c r="G47" s="50">
        <f>0</f>
        <v/>
      </c>
    </row>
    <row r="48">
      <c r="A48" s="6" t="inlineStr">
        <is>
          <t>Small talk</t>
        </is>
      </c>
      <c r="B48" s="45">
        <f>$B$11</f>
        <v/>
      </c>
      <c r="C48" s="50">
        <f>1</f>
        <v/>
      </c>
      <c r="D48" s="50">
        <f>$B$42</f>
        <v/>
      </c>
      <c r="E48" s="50">
        <f>$C$42</f>
        <v/>
      </c>
      <c r="F48" s="50">
        <f>0</f>
        <v/>
      </c>
      <c r="G48" s="50">
        <f>0</f>
        <v/>
      </c>
    </row>
    <row r="49">
      <c r="A49" s="6" t="inlineStr">
        <is>
          <t>Catalog advice</t>
        </is>
      </c>
      <c r="B49" s="45">
        <f>(1-$B$10-$B$11)*$B$12</f>
        <v/>
      </c>
      <c r="C49" s="50">
        <f>3+$B$16+$B$15</f>
        <v/>
      </c>
      <c r="D49" s="50">
        <f>$B$35+$B$36+$B$40+$B$16*$B$37+$B$15*$B$39</f>
        <v/>
      </c>
      <c r="E49" s="50">
        <f>$C$35+$C$36+$C$40+$B$16*$C$37+$B$15*$C$39</f>
        <v/>
      </c>
      <c r="F49" s="50">
        <f>0</f>
        <v/>
      </c>
      <c r="G49" s="50">
        <f>0</f>
        <v/>
      </c>
    </row>
    <row r="50">
      <c r="A50" s="6" t="inlineStr">
        <is>
          <t>Direct web research</t>
        </is>
      </c>
      <c r="B50" s="45">
        <f>(1-$B$10-$B$11)*$B$13</f>
        <v/>
      </c>
      <c r="C50" s="50">
        <f>1+2*$B$19+$B$20</f>
        <v/>
      </c>
      <c r="D50" s="50">
        <f>$B$41+$B$22+G50*$B$38+$B$20*$B$40</f>
        <v/>
      </c>
      <c r="E50" s="50">
        <f>$C$41+G50*$C$38+$B$20*$C$40</f>
        <v/>
      </c>
      <c r="F50" s="50">
        <f>1</f>
        <v/>
      </c>
      <c r="G50" s="50">
        <f>2*$B$19</f>
        <v/>
      </c>
    </row>
    <row r="51">
      <c r="A51" s="6" t="inlineStr">
        <is>
          <t>Per-car research</t>
        </is>
      </c>
      <c r="B51" s="45">
        <f>(1-$B$10-$B$11)*$B$14</f>
        <v/>
      </c>
      <c r="C51" s="50">
        <f>3+$B$16+$B$17*(1+$B$18)+$B$15</f>
        <v/>
      </c>
      <c r="D51" s="50">
        <f>$B$35+$B$36+$B$40+$B$16*$B$37+$B$17*($B$41+$B$22)+G51*$B$38+$B$15*$B$39</f>
        <v/>
      </c>
      <c r="E51" s="50">
        <f>$C$35+$C$36+$C$40+$B$16*$C$37+$B$17*$C$41+G51*$C$38+$B$15*$C$39</f>
        <v/>
      </c>
      <c r="F51" s="50">
        <f>$B$17</f>
        <v/>
      </c>
      <c r="G51" s="50">
        <f>$B$17*$B$18</f>
        <v/>
      </c>
    </row>
    <row r="52">
      <c r="A52" s="26" t="inlineStr">
        <is>
          <t>Share check (must be 100%)</t>
        </is>
      </c>
      <c r="B52" s="55">
        <f>SUM(B47:B51)</f>
        <v/>
      </c>
      <c r="C52" s="26">
        <f>IF(ABS(B52-1)&lt;0.000001,"OK","Fix route shares")</f>
        <v/>
      </c>
    </row>
    <row r="53">
      <c r="A53" s="12" t="inlineStr">
        <is>
          <t>Blended per message (incl. retry allowance)</t>
        </is>
      </c>
      <c r="B53" s="56">
        <f>B52</f>
        <v/>
      </c>
      <c r="C53" s="57">
        <f>SUMPRODUCT($B$47:$B$51,C47:C51)*(1+$B$21)</f>
        <v/>
      </c>
      <c r="D53" s="57">
        <f>SUMPRODUCT($B$47:$B$51,D47:D51)*(1+$B$21)</f>
        <v/>
      </c>
      <c r="E53" s="57">
        <f>SUMPRODUCT($B$47:$B$51,E47:E51)*(1+$B$21)</f>
        <v/>
      </c>
      <c r="F53" s="57">
        <f>SUMPRODUCT($B$47:$B$51,F47:F51)*(1+$B$21)</f>
        <v/>
      </c>
      <c r="G53" s="57">
        <f>SUMPRODUCT($B$47:$B$51,G47:G51)*(1+$B$21)</f>
        <v/>
      </c>
    </row>
    <row r="55">
      <c r="A55" s="3" t="inlineStr">
        <is>
          <t>Monthly workload and OpenAI API cost</t>
        </is>
      </c>
      <c r="B55" s="4" t="n"/>
      <c r="C55" s="4" t="n"/>
    </row>
    <row r="56">
      <c r="A56" s="5" t="inlineStr">
        <is>
          <t>Line</t>
        </is>
      </c>
      <c r="B56" s="5" t="inlineStr">
        <is>
          <t>Monthly</t>
        </is>
      </c>
      <c r="C56" s="5" t="inlineStr">
        <is>
          <t>Notes</t>
        </is>
      </c>
    </row>
    <row r="57" ht="24" customHeight="1" s="42">
      <c r="A57" s="6" t="inlineStr">
        <is>
          <t>AI messages per user</t>
        </is>
      </c>
      <c r="B57" s="35">
        <f>$B$7*$B$8+$B$9</f>
        <v/>
      </c>
      <c r="C57" s="23" t="inlineStr">
        <is>
          <t>Requests x messages + extra.</t>
        </is>
      </c>
    </row>
    <row r="58">
      <c r="A58" s="6" t="inlineStr">
        <is>
          <t>AI messages</t>
        </is>
      </c>
      <c r="B58" s="35">
        <f>$B$6*B57</f>
        <v/>
      </c>
      <c r="C58" s="23" t="inlineStr">
        <is>
          <t>All users.</t>
        </is>
      </c>
    </row>
    <row r="59" ht="24" customHeight="1" s="42">
      <c r="A59" s="6" t="inlineStr">
        <is>
          <t>Model calls</t>
        </is>
      </c>
      <c r="B59" s="35">
        <f>B58*C53</f>
        <v/>
      </c>
      <c r="C59" s="23" t="inlineStr">
        <is>
          <t>Messages x blended calls.</t>
        </is>
      </c>
    </row>
    <row r="60">
      <c r="A60" s="6" t="inlineStr">
        <is>
          <t>Input tokens (incl. search content)</t>
        </is>
      </c>
      <c r="B60" s="35">
        <f>B58*D53</f>
        <v/>
      </c>
      <c r="C60" s="23" t="n"/>
    </row>
    <row r="61">
      <c r="A61" s="6" t="inlineStr">
        <is>
          <t>Cached input tokens</t>
        </is>
      </c>
      <c r="B61" s="35">
        <f>B60*$B$23</f>
        <v/>
      </c>
      <c r="C61" s="23" t="n"/>
    </row>
    <row r="62">
      <c r="A62" s="6" t="inlineStr">
        <is>
          <t>Uncached input tokens</t>
        </is>
      </c>
      <c r="B62" s="35">
        <f>B60-B61</f>
        <v/>
      </c>
      <c r="C62" s="23" t="n"/>
    </row>
    <row r="63">
      <c r="A63" s="6" t="inlineStr">
        <is>
          <t>Output tokens (incl. reasoning)</t>
        </is>
      </c>
      <c r="B63" s="35">
        <f>B58*E53</f>
        <v/>
      </c>
      <c r="C63" s="23" t="n"/>
    </row>
    <row r="64">
      <c r="A64" s="6" t="inlineStr">
        <is>
          <t>Hosted web search calls</t>
        </is>
      </c>
      <c r="B64" s="35">
        <f>B58*F53</f>
        <v/>
      </c>
      <c r="C64" s="23" t="n"/>
    </row>
    <row r="65" ht="24" customHeight="1" s="42">
      <c r="A65" s="6" t="inlineStr">
        <is>
          <t>Page extractions</t>
        </is>
      </c>
      <c r="B65" s="35">
        <f>B58*G53</f>
        <v/>
      </c>
      <c r="C65" s="23" t="inlineStr">
        <is>
          <t>Static HTTP fetch + model extraction.</t>
        </is>
      </c>
    </row>
    <row r="66">
      <c r="A66" s="6" t="inlineStr">
        <is>
          <t>Input token cost</t>
        </is>
      </c>
      <c r="B66" s="44">
        <f>B62/1000000*$B$27+B61/1000000*$B$29</f>
        <v/>
      </c>
      <c r="C66" s="23" t="n"/>
    </row>
    <row r="67">
      <c r="A67" s="6" t="inlineStr">
        <is>
          <t>Output token cost</t>
        </is>
      </c>
      <c r="B67" s="44">
        <f>B63/1000000*$B$28</f>
        <v/>
      </c>
      <c r="C67" s="23" t="n"/>
    </row>
    <row r="68">
      <c r="A68" s="6" t="inlineStr">
        <is>
          <t>Web search tool fees</t>
        </is>
      </c>
      <c r="B68" s="44">
        <f>B64*$B$30</f>
        <v/>
      </c>
      <c r="C68" s="23" t="n"/>
    </row>
    <row r="69" ht="24" customHeight="1" s="42">
      <c r="A69" s="12" t="inlineStr">
        <is>
          <t>Total OpenAI API cost / month</t>
        </is>
      </c>
      <c r="B69" s="46">
        <f>SUM(B66:B68)</f>
        <v/>
      </c>
      <c r="C69" s="23" t="inlineStr">
        <is>
          <t>Pay-as-you-go; no fixed fee.</t>
        </is>
      </c>
    </row>
    <row r="70">
      <c r="A70" s="6" t="inlineStr">
        <is>
          <t>Total OpenAI API cost / year</t>
        </is>
      </c>
      <c r="B70" s="44">
        <f>B69*12</f>
        <v/>
      </c>
      <c r="C70" s="23" t="n"/>
    </row>
    <row r="71">
      <c r="A71" s="6" t="inlineStr">
        <is>
          <t>OpenAI API cost per user / month</t>
        </is>
      </c>
      <c r="B71" s="58">
        <f>IF($B$6&gt;0,B69/$B$6,0)</f>
        <v/>
      </c>
      <c r="C71" s="23" t="n"/>
    </row>
    <row r="72">
      <c r="A72" s="6" t="inlineStr">
        <is>
          <t>OpenAI API cost per AI message</t>
        </is>
      </c>
      <c r="B72" s="58">
        <f>IF(B58&gt;0,B69/B58,0)</f>
        <v/>
      </c>
      <c r="C72" s="23" t="n"/>
    </row>
    <row r="73" ht="36" customHeight="1" s="42">
      <c r="A73" s="12" t="inlineStr">
        <is>
          <t>Suggested OpenAI project budget alert / limit</t>
        </is>
      </c>
      <c r="B73" s="46">
        <f>B69*$B$31</f>
        <v/>
      </c>
      <c r="C73" s="23" t="inlineStr">
        <is>
          <t>Set in OpenAI project settings (see Setup Guide).</t>
        </is>
      </c>
    </row>
    <row r="75">
      <c r="A75" s="3" t="inlineStr">
        <is>
          <t>OpenAI rate-limit check (requests and tokens per minute)</t>
        </is>
      </c>
      <c r="B75" s="4" t="n"/>
      <c r="C75" s="4" t="n"/>
    </row>
    <row r="76">
      <c r="A76" s="5" t="inlineStr">
        <is>
          <t>Line</t>
        </is>
      </c>
      <c r="B76" s="5" t="inlineStr">
        <is>
          <t>Value</t>
        </is>
      </c>
      <c r="C76" s="5" t="inlineStr">
        <is>
          <t>Notes</t>
        </is>
      </c>
    </row>
    <row r="77">
      <c r="A77" s="6" t="inlineStr">
        <is>
          <t>Minutes per month</t>
        </is>
      </c>
      <c r="B77" s="7">
        <f>'Infra Cost'!B7*60</f>
        <v/>
      </c>
      <c r="C77" s="23" t="inlineStr">
        <is>
          <t>Billable hours x 60.</t>
        </is>
      </c>
    </row>
    <row r="78" ht="72" customHeight="1" s="42">
      <c r="A78" s="6" t="inlineStr">
        <is>
          <t>Peak-to-average factor</t>
        </is>
      </c>
      <c r="B78" s="30" t="n">
        <v>10</v>
      </c>
      <c r="C78" s="23" t="inlineStr">
        <is>
          <t>Planning input: busy-minute traffic vs the monthly average. Replace with measured peaks.</t>
        </is>
      </c>
    </row>
    <row r="79" ht="24" customHeight="1" s="42">
      <c r="A79" s="6" t="inlineStr">
        <is>
          <t>Average requests per minute</t>
        </is>
      </c>
      <c r="B79" s="50">
        <f>B59/B77</f>
        <v/>
      </c>
      <c r="C79" s="23" t="inlineStr">
        <is>
          <t>Model calls / minutes.</t>
        </is>
      </c>
    </row>
    <row r="80" ht="48" customHeight="1" s="42">
      <c r="A80" s="12" t="inlineStr">
        <is>
          <t>Peak requests per minute (RPM) needed</t>
        </is>
      </c>
      <c r="B80" s="37">
        <f>B79*B78</f>
        <v/>
      </c>
      <c r="C80" s="23" t="inlineStr">
        <is>
          <t>Compare with the RPM limit in OpenAI Settings &gt; Limits.</t>
        </is>
      </c>
    </row>
    <row r="81" ht="24" customHeight="1" s="42">
      <c r="A81" s="6" t="inlineStr">
        <is>
          <t>Average tokens per minute</t>
        </is>
      </c>
      <c r="B81" s="35">
        <f>(B60+B63)/B77</f>
        <v/>
      </c>
      <c r="C81" s="23" t="inlineStr">
        <is>
          <t>Input + output tokens / minutes.</t>
        </is>
      </c>
    </row>
    <row r="82" ht="60" customHeight="1" s="42">
      <c r="A82" s="12" t="inlineStr">
        <is>
          <t>Peak tokens per minute (TPM) needed</t>
        </is>
      </c>
      <c r="B82" s="37">
        <f>B81*B78</f>
        <v/>
      </c>
      <c r="C82" s="23" t="inlineStr">
        <is>
          <t>Compare with the TPM limit for GPT-6 Luna; limits rise with your usage tier.</t>
        </is>
      </c>
    </row>
    <row r="84">
      <c r="A84" s="15" t="inlineStr">
        <is>
          <t>Legend</t>
        </is>
      </c>
    </row>
    <row r="85">
      <c r="A85" s="16" t="inlineStr">
        <is>
          <t>Blue text, yellow fill</t>
        </is>
      </c>
      <c r="B85" s="17" t="inlineStr">
        <is>
          <t>Editable input / assumption - change these</t>
        </is>
      </c>
    </row>
    <row r="86">
      <c r="A86" s="8" t="inlineStr">
        <is>
          <t>Black text</t>
        </is>
      </c>
      <c r="B86" s="17" t="inlineStr">
        <is>
          <t>Formula - do not overwrite</t>
        </is>
      </c>
    </row>
    <row r="87">
      <c r="A87" s="18" t="inlineStr">
        <is>
          <t>Green text</t>
        </is>
      </c>
      <c r="B87" s="17" t="inlineStr">
        <is>
          <t>Linked from another sheet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1"/>
  <sheetViews>
    <sheetView showGridLines="0" workbookViewId="0">
      <pane ySplit="4" topLeftCell="A5" activePane="bottomLeft" state="frozen"/>
      <selection activeCell="A1" sqref="A1"/>
    </sheetView>
  </sheetViews>
  <sheetFormatPr baseColWidth="8" defaultRowHeight="15"/>
  <cols>
    <col width="24" customWidth="1" style="42" min="1" max="1"/>
    <col width="7" customWidth="1" style="42" min="2" max="2"/>
    <col width="70" customWidth="1" style="42" min="3" max="3"/>
    <col width="42" customWidth="1" style="42" min="4" max="4"/>
    <col width="46" customWidth="1" style="42" min="5" max="5"/>
  </cols>
  <sheetData>
    <row r="1" ht="18" customHeight="1" s="42">
      <c r="A1" s="1" t="inlineStr">
        <is>
          <t>Setup guide - AWS services and OpenAI API key (10,000 users)</t>
        </is>
      </c>
    </row>
    <row r="2">
      <c r="A2" s="2" t="inlineStr">
        <is>
          <t>Step-by-step for the 10,000-user deployment on CloudFront + ECS Fargate. Create the resources with Terraform (infra/terraform) where possible; the steps below describe what gets created. Console menu names can change.</t>
        </is>
      </c>
    </row>
    <row r="4">
      <c r="A4" s="5" t="inlineStr">
        <is>
          <t>Section</t>
        </is>
      </c>
      <c r="B4" s="5" t="inlineStr">
        <is>
          <t>Step</t>
        </is>
      </c>
      <c r="C4" s="5" t="inlineStr">
        <is>
          <t>What to do</t>
        </is>
      </c>
      <c r="D4" s="5" t="inlineStr">
        <is>
          <t>Where (console / file)</t>
        </is>
      </c>
      <c r="E4" s="5" t="inlineStr">
        <is>
          <t>Notes</t>
        </is>
      </c>
    </row>
    <row r="5" ht="28" customHeight="1" s="42">
      <c r="A5" s="26" t="inlineStr">
        <is>
          <t>1. AWS account</t>
        </is>
      </c>
      <c r="B5" s="38" t="n">
        <v>1</v>
      </c>
      <c r="C5" s="20" t="inlineStr">
        <is>
          <t>Create the AWS account with a company email, then turn on MFA for the root user and stop using root for daily work.</t>
        </is>
      </c>
      <c r="D5" s="20" t="inlineStr">
        <is>
          <t>aws.amazon.com &gt; Create account; IAM &gt; Security credentials</t>
        </is>
      </c>
      <c r="E5" s="23" t="inlineStr">
        <is>
          <t>Keep root credentials in the company password manager.</t>
        </is>
      </c>
    </row>
    <row r="6" ht="28" customHeight="1" s="42">
      <c r="A6" s="26" t="inlineStr">
        <is>
          <t>1. AWS account</t>
        </is>
      </c>
      <c r="B6" s="38" t="n">
        <v>2</v>
      </c>
      <c r="C6" s="20" t="inlineStr">
        <is>
          <t>Create admin access for the team (IAM Identity Center users, or IAM users with MFA) and give each person their own login.</t>
        </is>
      </c>
      <c r="D6" s="20" t="inlineStr">
        <is>
          <t>IAM Identity Center (or IAM &gt; Users)</t>
        </is>
      </c>
      <c r="E6" s="23" t="inlineStr">
        <is>
          <t>Never share one login between people.</t>
        </is>
      </c>
    </row>
    <row r="7" ht="28" customHeight="1" s="42">
      <c r="A7" s="26" t="inlineStr">
        <is>
          <t>1. AWS account</t>
        </is>
      </c>
      <c r="B7" s="38" t="n">
        <v>3</v>
      </c>
      <c r="C7" s="20" t="inlineStr">
        <is>
          <t>Choose one region (this estimate uses us-east-1) and create every resource there. CloudFront certificates and the WAF web ACL always live in us-east-1.</t>
        </is>
      </c>
      <c r="D7" s="20" t="inlineStr">
        <is>
          <t>Region selector, top right of the console</t>
        </is>
      </c>
      <c r="E7" s="23" t="inlineStr">
        <is>
          <t>Prices in this workbook are us-east-1.</t>
        </is>
      </c>
    </row>
    <row r="8" ht="28" customHeight="1" s="42">
      <c r="A8" s="26" t="inlineStr">
        <is>
          <t>1. AWS account</t>
        </is>
      </c>
      <c r="B8" s="38" t="n">
        <v>4</v>
      </c>
      <c r="C8" s="20" t="inlineStr">
        <is>
          <t>Create a monthly cost budget at the Summary total plus about 20%, with email alerts at 80% and 100%.</t>
        </is>
      </c>
      <c r="D8" s="20" t="inlineStr">
        <is>
          <t>Billing and Cost Management &gt; Budgets</t>
        </is>
      </c>
      <c r="E8" s="23" t="inlineStr">
        <is>
          <t>Catches runaway usage early.</t>
        </is>
      </c>
    </row>
    <row r="9" ht="28" customHeight="1" s="42">
      <c r="A9" s="26" t="inlineStr">
        <is>
          <t>2. Infrastructure as code</t>
        </is>
      </c>
      <c r="B9" s="38" t="n">
        <v>1</v>
      </c>
      <c r="C9" s="20" t="inlineStr">
        <is>
          <t>Create a private S3 bucket for Terraform state and a GitHub Actions OIDC identity provider (infra/terraform/bootstrap). State locking uses use_lockfile = true.</t>
        </is>
      </c>
      <c r="D9" s="20" t="inlineStr">
        <is>
          <t>infra/terraform/bootstrap</t>
        </is>
      </c>
      <c r="E9" s="23" t="inlineStr">
        <is>
          <t>No DynamoDB lock table is needed with Terraform 1.10+.</t>
        </is>
      </c>
    </row>
    <row r="10" ht="28" customHeight="1" s="42">
      <c r="A10" s="26" t="inlineStr">
        <is>
          <t>2. Infrastructure as code</t>
        </is>
      </c>
      <c r="B10" s="38" t="n">
        <v>2</v>
      </c>
      <c r="C10" s="20" t="inlineStr">
        <is>
          <t>Apply the environment: terraform init, plan, apply. It creates every resource in the sections below.</t>
        </is>
      </c>
      <c r="D10" s="20" t="inlineStr">
        <is>
          <t>infra/terraform/envs/&lt;env&gt;</t>
        </is>
      </c>
      <c r="E10" s="23" t="inlineStr">
        <is>
          <t>Pin Terraform ~&gt; 1.17 and the AWS provider ~&gt; 6.70 (avoid 6.57.0, it was withdrawn).</t>
        </is>
      </c>
    </row>
    <row r="11" ht="28" customHeight="1" s="42">
      <c r="A11" s="26" t="inlineStr">
        <is>
          <t>3. Network (VPC)</t>
        </is>
      </c>
      <c r="B11" s="38" t="n">
        <v>1</v>
      </c>
      <c r="C11" s="20" t="inlineStr">
        <is>
          <t>Create a VPC with 2 public subnets (ALB, NAT) and 2 private subnets (ECS tasks, RDS) across 2 Availability Zones, plus an internet gateway.</t>
        </is>
      </c>
      <c r="D11" s="20" t="inlineStr">
        <is>
          <t>VPC &gt; Create VPC &gt; 'VPC and more'</t>
        </is>
      </c>
      <c r="E11" s="23" t="inlineStr">
        <is>
          <t>Set NAT gateways to 'In 1 AZ'.</t>
        </is>
      </c>
    </row>
    <row r="12" ht="28" customHeight="1" s="42">
      <c r="A12" s="26" t="inlineStr">
        <is>
          <t>3. Network (VPC)</t>
        </is>
      </c>
      <c r="B12" s="38" t="n">
        <v>2</v>
      </c>
      <c r="C12" s="20" t="inlineStr">
        <is>
          <t>Create 1 NAT Gateway in a public subnet (AWS allocates its Elastic IP) and route 0.0.0.0/0 from both private route tables to it.</t>
        </is>
      </c>
      <c r="D12" s="20" t="inlineStr">
        <is>
          <t>VPC &gt; NAT gateways; Route tables</t>
        </is>
      </c>
      <c r="E12" s="23" t="inlineStr">
        <is>
          <t>Sera needs this to reach OpenAI and car websites.</t>
        </is>
      </c>
    </row>
    <row r="13" ht="25.5" customHeight="1" s="42">
      <c r="A13" s="26" t="inlineStr">
        <is>
          <t>3. Network (VPC)</t>
        </is>
      </c>
      <c r="B13" s="38" t="n">
        <v>3</v>
      </c>
      <c r="C13" s="20" t="inlineStr">
        <is>
          <t>Add an S3 gateway endpoint and attach it to the private route tables.</t>
        </is>
      </c>
      <c r="D13" s="20" t="inlineStr">
        <is>
          <t>VPC &gt; Endpoints &gt; Create endpoint &gt; S3 (Gateway)</t>
        </is>
      </c>
      <c r="E13" s="23" t="inlineStr">
        <is>
          <t>Free; keeps S3 upload traffic off the NAT.</t>
        </is>
      </c>
    </row>
    <row r="14" ht="41" customHeight="1" s="42">
      <c r="A14" s="26" t="inlineStr">
        <is>
          <t>3. Network (VPC)</t>
        </is>
      </c>
      <c r="B14" s="38" t="n">
        <v>4</v>
      </c>
      <c r="C14" s="20" t="inlineStr">
        <is>
          <t>Create security groups: ALB allows 443 only from the CloudFront managed prefix list (com.amazonaws.global.cloudfront.origin-facing); ECS allows 8000 only from the ALB group; RDS allows 5432 only from the ECS group.</t>
        </is>
      </c>
      <c r="D14" s="20" t="inlineStr">
        <is>
          <t>VPC &gt; Security groups</t>
        </is>
      </c>
      <c r="E14" s="23" t="inlineStr">
        <is>
          <t>Never open 5432 or 8000 to the internet.</t>
        </is>
      </c>
    </row>
    <row r="15" ht="28" customHeight="1" s="42">
      <c r="A15" s="26" t="inlineStr">
        <is>
          <t>4. RDS PostgreSQL</t>
        </is>
      </c>
      <c r="B15" s="38" t="n">
        <v>1</v>
      </c>
      <c r="C15" s="20" t="inlineStr">
        <is>
          <t>Create a PostgreSQL database: db.t4g.small, Single-AZ, 200 GB gp3, in the private subnets, Public access = No, RDS security group.</t>
        </is>
      </c>
      <c r="D15" s="20" t="inlineStr">
        <is>
          <t>RDS &gt; Create database &gt; Standard create &gt; PostgreSQL</t>
        </is>
      </c>
      <c r="E15" s="23" t="inlineStr">
        <is>
          <t>Matches the Infra Cost lines.</t>
        </is>
      </c>
    </row>
    <row r="16" ht="28" customHeight="1" s="42">
      <c r="A16" s="26" t="inlineStr">
        <is>
          <t>4. RDS PostgreSQL</t>
        </is>
      </c>
      <c r="B16" s="38" t="n">
        <v>2</v>
      </c>
      <c r="C16" s="20" t="inlineStr">
        <is>
          <t>Let RDS manage the master password in Secrets Manager, set automated backups to 7 days and turn on deletion protection.</t>
        </is>
      </c>
      <c r="D16" s="20" t="inlineStr">
        <is>
          <t>RDS &gt; Create database &gt; Credentials / Backup</t>
        </is>
      </c>
      <c r="E16" s="23" t="inlineStr">
        <is>
          <t>The password never appears in code or Terraform state.</t>
        </is>
      </c>
    </row>
    <row r="17" ht="28" customHeight="1" s="42">
      <c r="A17" s="26" t="inlineStr">
        <is>
          <t>4. RDS PostgreSQL</t>
        </is>
      </c>
      <c r="B17" s="38" t="n">
        <v>3</v>
      </c>
      <c r="C17" s="20" t="inlineStr">
        <is>
          <t>Run Alembic migrations as a one-off ECS task before each deploy: aws ecs run-task with the command override 'alembic upgrade head'.</t>
        </is>
      </c>
      <c r="D17" s="20" t="inlineStr">
        <is>
          <t>ECS &gt; Clusters &gt; Run task; backend/alembic</t>
        </is>
      </c>
      <c r="E17" s="23" t="inlineStr">
        <is>
          <t>DATABASE_URL format: postgresql+asyncpg://user:pass@host:5432/db?ssl=require</t>
        </is>
      </c>
    </row>
    <row r="18" ht="41" customHeight="1" s="42">
      <c r="A18" s="26" t="inlineStr">
        <is>
          <t>5. S3 storage</t>
        </is>
      </c>
      <c r="B18" s="38" t="n">
        <v>1</v>
      </c>
      <c r="C18" s="20" t="inlineStr">
        <is>
          <t>Create a private uploads bucket for quote photos, documents, driving licences, support attachments and Codex OAuth state. Keep Block Public Access on and default encryption SSE-S3.</t>
        </is>
      </c>
      <c r="D18" s="20" t="inlineStr">
        <is>
          <t>S3 &gt; Create bucket</t>
        </is>
      </c>
      <c r="E18" s="23" t="inlineStr">
        <is>
          <t>The app serves files through short-lived pre-signed URLs.</t>
        </is>
      </c>
    </row>
    <row r="19" ht="28" customHeight="1" s="42">
      <c r="A19" s="26" t="inlineStr">
        <is>
          <t>5. S3 storage</t>
        </is>
      </c>
      <c r="B19" s="38" t="n">
        <v>2</v>
      </c>
      <c r="C19" s="20" t="inlineStr">
        <is>
          <t>Create a private frontend bucket for the React build. Only CloudFront reads it, through Origin Access Control.</t>
        </is>
      </c>
      <c r="D19" s="20" t="inlineStr">
        <is>
          <t>S3 &gt; Create bucket; CloudFront &gt; Origin access</t>
        </is>
      </c>
      <c r="E19" s="23" t="inlineStr">
        <is>
          <t>No static website hosting and no public access.</t>
        </is>
      </c>
    </row>
    <row r="20" ht="28" customHeight="1" s="42">
      <c r="A20" s="26" t="inlineStr">
        <is>
          <t>5. S3 storage</t>
        </is>
      </c>
      <c r="B20" s="38" t="n">
        <v>3</v>
      </c>
      <c r="C20" s="20" t="inlineStr">
        <is>
          <t>Optional: turn on versioning and a lifecycle rule on the uploads bucket to expire old versions after 30-90 days.</t>
        </is>
      </c>
      <c r="D20" s="20" t="inlineStr">
        <is>
          <t>S3 &gt; bucket &gt; Properties / Management</t>
        </is>
      </c>
      <c r="E20" s="23" t="inlineStr">
        <is>
          <t>Versions count toward stored GB.</t>
        </is>
      </c>
    </row>
    <row r="21" ht="41" customHeight="1" s="42">
      <c r="A21" s="26" t="inlineStr">
        <is>
          <t>6. Secrets Manager</t>
        </is>
      </c>
      <c r="B21" s="38" t="n">
        <v>1</v>
      </c>
      <c r="C21" s="20" t="inlineStr">
        <is>
          <t>Store app secrets: JWT_SECRET_KEY (32+ characters), OPENAI_API_KEY (or Codex OAuth client ID + refresh token) and the CloudFront origin header value. RDS stores its own password.</t>
        </is>
      </c>
      <c r="D21" s="20" t="inlineStr">
        <is>
          <t>Secrets Manager &gt; Store a new secret &gt; Other type of secret</t>
        </is>
      </c>
      <c r="E21" s="23" t="inlineStr">
        <is>
          <t>Name them like drivedeal/prod/OPENAI_API_KEY.</t>
        </is>
      </c>
    </row>
    <row r="22" ht="28" customHeight="1" s="42">
      <c r="A22" s="26" t="inlineStr">
        <is>
          <t>7. ECR</t>
        </is>
      </c>
      <c r="B22" s="38" t="n">
        <v>1</v>
      </c>
      <c r="C22" s="20" t="inlineStr">
        <is>
          <t>Create the drivedeal-api repository with scan on push and a lifecycle rule that keeps the last 10 images.</t>
        </is>
      </c>
      <c r="D22" s="20" t="inlineStr">
        <is>
          <t>ECR &gt; Repositories &gt; Create repository</t>
        </is>
      </c>
      <c r="E22" s="23" t="inlineStr">
        <is>
          <t>Replaces Docker Hub.</t>
        </is>
      </c>
    </row>
    <row r="23" ht="28" customHeight="1" s="42">
      <c r="A23" s="26" t="inlineStr">
        <is>
          <t>8. IAM roles</t>
        </is>
      </c>
      <c r="B23" s="38" t="n">
        <v>1</v>
      </c>
      <c r="C23" s="20" t="inlineStr">
        <is>
          <t>Task execution role: pull from ECR, read drivedeal/prod/* secrets, write CloudWatch logs.</t>
        </is>
      </c>
      <c r="D23" s="20" t="inlineStr">
        <is>
          <t>IAM &gt; Roles &gt; Create role &gt; Elastic Container Service Task</t>
        </is>
      </c>
      <c r="E23" s="23" t="inlineStr">
        <is>
          <t>Used by ECS to start the task.</t>
        </is>
      </c>
    </row>
    <row r="24" ht="28" customHeight="1" s="42">
      <c r="A24" s="26" t="inlineStr">
        <is>
          <t>8. IAM roles</t>
        </is>
      </c>
      <c r="B24" s="38" t="n">
        <v>2</v>
      </c>
      <c r="C24" s="20" t="inlineStr">
        <is>
          <t>Task role: read/write on the uploads bucket only.</t>
        </is>
      </c>
      <c r="D24" s="20" t="inlineStr">
        <is>
          <t>IAM &gt; Roles &gt; Create role &gt; Elastic Container Service Task</t>
        </is>
      </c>
      <c r="E24" s="23" t="inlineStr">
        <is>
          <t>With a role, leave AWS_ACCESS_KEY_ID / AWS_SECRET_ACCESS_KEY empty in the app config.</t>
        </is>
      </c>
    </row>
    <row r="25" ht="41" customHeight="1" s="42">
      <c r="A25" s="26" t="inlineStr">
        <is>
          <t>8. IAM roles</t>
        </is>
      </c>
      <c r="B25" s="38" t="n">
        <v>3</v>
      </c>
      <c r="C25" s="20" t="inlineStr">
        <is>
          <t>GitHub Actions deploy role, trusted through OIDC for this repository: push to ECR, run the migration task, update the ECS service, sync the frontend bucket, invalidate CloudFront.</t>
        </is>
      </c>
      <c r="D25" s="20" t="inlineStr">
        <is>
          <t>IAM &gt; Identity providers (token.actions.githubusercontent.com); IAM &gt; Roles</t>
        </is>
      </c>
      <c r="E25" s="23" t="inlineStr">
        <is>
          <t>No AWS access keys in GitHub secrets.</t>
        </is>
      </c>
    </row>
    <row r="26" ht="25.5" customHeight="1" s="42">
      <c r="A26" s="26" t="inlineStr">
        <is>
          <t>9. ECS Fargate</t>
        </is>
      </c>
      <c r="B26" s="38" t="n">
        <v>1</v>
      </c>
      <c r="C26" s="20" t="inlineStr">
        <is>
          <t>Create an ECS cluster with Container Insights turned on.</t>
        </is>
      </c>
      <c r="D26" s="20" t="inlineStr">
        <is>
          <t>ECS &gt; Clusters &gt; Create cluster (Fargate)</t>
        </is>
      </c>
      <c r="E26" s="23" t="n"/>
    </row>
    <row r="27" ht="28" customHeight="1" s="42">
      <c r="A27" s="26" t="inlineStr">
        <is>
          <t>9. ECS Fargate</t>
        </is>
      </c>
      <c r="B27" s="38" t="n">
        <v>2</v>
      </c>
      <c r="C27" s="20" t="inlineStr">
        <is>
          <t>Create the task definition: 1 vCPU / 2 GB, container port 8000, awslogs to /ecs/drivedeal-prod-api (30-day retention), secrets injected from Secrets Manager.</t>
        </is>
      </c>
      <c r="D27" s="20" t="inlineStr">
        <is>
          <t>ECS &gt; Task definitions &gt; Create</t>
        </is>
      </c>
      <c r="E27" s="23" t="inlineStr">
        <is>
          <t>Health check: /api/v1/health.</t>
        </is>
      </c>
    </row>
    <row r="28" ht="54" customHeight="1" s="42">
      <c r="A28" s="26" t="inlineStr">
        <is>
          <t>9. ECS Fargate</t>
        </is>
      </c>
      <c r="B28" s="38" t="n">
        <v>3</v>
      </c>
      <c r="C28" s="20" t="inlineStr">
        <is>
          <t>Set production env vars: APP_ENV=production, STORAGE_DRIVER=s3, S3_BUCKET, AWS_REGION, CORS_ORIGINS=["https://www.dealndrive.ai","https://dealndrive.ai"], AI_PROVIDER=openai, OPENAI_MODEL, AI_ENABLE_WEB_SEARCH=true, AI_REQUEST_TIMEOUT_SECONDS=45, LANGSMITH_TRACING=false.</t>
        </is>
      </c>
      <c r="D28" s="20" t="inlineStr">
        <is>
          <t>deploy/task-definition/backend.yml lists every variable</t>
        </is>
      </c>
      <c r="E28" s="23" t="inlineStr">
        <is>
          <t>Production start-up fails unless STORAGE_DRIVER=s3.</t>
        </is>
      </c>
    </row>
    <row r="29" ht="41" customHeight="1" s="42">
      <c r="A29" s="26" t="inlineStr">
        <is>
          <t>9. ECS Fargate</t>
        </is>
      </c>
      <c r="B29" s="38" t="n">
        <v>4</v>
      </c>
      <c r="C29" s="20" t="inlineStr">
        <is>
          <t>Create the service: 4 desired task(s) across both private subnets, no public IP, attached to the ALB target group, deployment circuit breaker with rollback, 60 s health check grace period.</t>
        </is>
      </c>
      <c r="D29" s="20" t="inlineStr">
        <is>
          <t>ECS &gt; Clusters &gt; Create service</t>
        </is>
      </c>
      <c r="E29" s="23" t="inlineStr">
        <is>
          <t>Infra Cost assumption: 4 tasks.</t>
        </is>
      </c>
    </row>
    <row r="30" ht="41" customHeight="1" s="42">
      <c r="A30" s="26" t="inlineStr">
        <is>
          <t>9. ECS Fargate</t>
        </is>
      </c>
      <c r="B30" s="38" t="n">
        <v>5</v>
      </c>
      <c r="C30" s="20" t="inlineStr">
        <is>
          <t>Code change before launch: make websocket_manager publish chat/quote events with Postgres NOTIFY and have each task LISTEN and deliver to its own connected users.</t>
        </is>
      </c>
      <c r="D30" s="20" t="inlineStr">
        <is>
          <t>backend/src/services/websocket_manager.py</t>
        </is>
      </c>
      <c r="E30" s="23" t="inlineStr">
        <is>
          <t>Without this, users on another task miss live updates. No ElastiCache needed.</t>
        </is>
      </c>
    </row>
    <row r="31" ht="28" customHeight="1" s="42">
      <c r="A31" s="26" t="inlineStr">
        <is>
          <t>9. ECS Fargate</t>
        </is>
      </c>
      <c r="B31" s="38" t="n">
        <v>6</v>
      </c>
      <c r="C31" s="20" t="inlineStr">
        <is>
          <t>Load-test the full stack (chat streaming, uploads, quotes) at the expected peak before go-live; size RDS up if CPU or connections run high.</t>
        </is>
      </c>
      <c r="D31" s="20" t="inlineStr">
        <is>
          <t>Load-testing tool (e.g. k6, Locust)</t>
        </is>
      </c>
      <c r="E31" s="23" t="inlineStr">
        <is>
          <t>RDS db.t4g.small is the team estimate, not a measured capacity.</t>
        </is>
      </c>
    </row>
    <row r="32" ht="41" customHeight="1" s="42">
      <c r="A32" s="26" t="inlineStr">
        <is>
          <t>10. TLS certificates</t>
        </is>
      </c>
      <c r="B32" s="38" t="n">
        <v>1</v>
      </c>
      <c r="C32" s="20" t="inlineStr">
        <is>
          <t>Request a public certificate for dealndrive.ai and www.dealndrive.ai in us-east-1 (for CloudFront) and one in the app region (for the ALB). Validate both through DNS.</t>
        </is>
      </c>
      <c r="D32" s="20" t="inlineStr">
        <is>
          <t>Certificate Manager &gt; Request certificate</t>
        </is>
      </c>
      <c r="E32" s="23" t="inlineStr">
        <is>
          <t>Free.</t>
        </is>
      </c>
    </row>
    <row r="33" ht="28" customHeight="1" s="42">
      <c r="A33" s="26" t="inlineStr">
        <is>
          <t>11. Load balancer</t>
        </is>
      </c>
      <c r="B33" s="38" t="n">
        <v>1</v>
      </c>
      <c r="C33" s="20" t="inlineStr">
        <is>
          <t>Create an internet-facing Application Load Balancer in the 2 public subnets with the ALB security group.</t>
        </is>
      </c>
      <c r="D33" s="20" t="inlineStr">
        <is>
          <t>EC2 &gt; Load balancers &gt; Create &gt; Application Load Balancer</t>
        </is>
      </c>
      <c r="E33" s="23" t="n"/>
    </row>
    <row r="34" ht="28" customHeight="1" s="42">
      <c r="A34" s="26" t="inlineStr">
        <is>
          <t>11. Load balancer</t>
        </is>
      </c>
      <c r="B34" s="38" t="n">
        <v>2</v>
      </c>
      <c r="C34" s="20" t="inlineStr">
        <is>
          <t>Create a target group of type IP, port 8000, health check path /api/v1/health, deregistration delay 30 s.</t>
        </is>
      </c>
      <c r="D34" s="20" t="inlineStr">
        <is>
          <t>EC2 &gt; Target groups</t>
        </is>
      </c>
      <c r="E34" s="23" t="inlineStr">
        <is>
          <t>ECS registers the task IPs automatically.</t>
        </is>
      </c>
    </row>
    <row r="35" ht="28" customHeight="1" s="42">
      <c r="A35" s="26" t="inlineStr">
        <is>
          <t>11. Load balancer</t>
        </is>
      </c>
      <c r="B35" s="38" t="n">
        <v>3</v>
      </c>
      <c r="C35" s="20" t="inlineStr">
        <is>
          <t>HTTPS 443 listener with the regional certificate: forward only when the X-Origin-Verify header matches the secret; default action returns 403.</t>
        </is>
      </c>
      <c r="D35" s="20" t="inlineStr">
        <is>
          <t>Load balancer &gt; Listeners &gt; Rules</t>
        </is>
      </c>
      <c r="E35" s="23" t="inlineStr">
        <is>
          <t>Blocks anyone bypassing CloudFront.</t>
        </is>
      </c>
    </row>
    <row r="36" ht="28" customHeight="1" s="42">
      <c r="A36" s="26" t="inlineStr">
        <is>
          <t>11. Load balancer</t>
        </is>
      </c>
      <c r="B36" s="38" t="n">
        <v>4</v>
      </c>
      <c r="C36" s="20" t="inlineStr">
        <is>
          <t>Raise the ALB idle timeout to 120 seconds so Sera's streaming (SSE) replies and WebSocket chat are not cut off.</t>
        </is>
      </c>
      <c r="D36" s="20" t="inlineStr">
        <is>
          <t>Load balancer &gt; Attributes &gt; Idle timeout</t>
        </is>
      </c>
      <c r="E36" s="23" t="inlineStr">
        <is>
          <t>The default 60 seconds can cut long research answers.</t>
        </is>
      </c>
    </row>
    <row r="37" ht="28" customHeight="1" s="42">
      <c r="A37" s="26" t="inlineStr">
        <is>
          <t>12. CloudFront + WAF</t>
        </is>
      </c>
      <c r="B37" s="38" t="n">
        <v>1</v>
      </c>
      <c r="C37" s="20" t="inlineStr">
        <is>
          <t>Create the distribution. Default behaviour (/*): frontend S3 bucket with OAC, cached. Map 403/404 errors to /index.html with status 200 for React routes.</t>
        </is>
      </c>
      <c r="D37" s="20" t="inlineStr">
        <is>
          <t>CloudFront &gt; Create distribution</t>
        </is>
      </c>
      <c r="E37" s="23" t="n"/>
    </row>
    <row r="38" ht="41" customHeight="1" s="42">
      <c r="A38" s="26" t="inlineStr">
        <is>
          <t>12. CloudFront + WAF</t>
        </is>
      </c>
      <c r="B38" s="38" t="n">
        <v>2</v>
      </c>
      <c r="C38" s="20" t="inlineStr">
        <is>
          <t>Add the /api/* behaviour to the ALB origin: all HTTP methods, cache policy CachingDisabled, origin request policy AllViewerExceptHostHeader, custom header X-Origin-Verify, origin response timeout 60 s.</t>
        </is>
      </c>
      <c r="D38" s="20" t="inlineStr">
        <is>
          <t>CloudFront &gt; Distribution &gt; Behaviors / Origins</t>
        </is>
      </c>
      <c r="E38" s="23" t="inlineStr">
        <is>
          <t>Forwards the WebSocket ?token= query string and upgrade headers.</t>
        </is>
      </c>
    </row>
    <row r="39" ht="41" customHeight="1" s="42">
      <c r="A39" s="26" t="inlineStr">
        <is>
          <t>12. CloudFront + WAF</t>
        </is>
      </c>
      <c r="B39" s="38" t="n">
        <v>3</v>
      </c>
      <c r="C39" s="20" t="inlineStr">
        <is>
          <t>Create a WAF web ACL (CloudFront scope) with AWS managed Common, Known bad inputs and IP reputation rule groups plus a rate-based rule, and attach it to the distribution.</t>
        </is>
      </c>
      <c r="D39" s="20" t="inlineStr">
        <is>
          <t>WAF &amp; Shield &gt; Web ACLs &gt; Create</t>
        </is>
      </c>
      <c r="E39" s="23" t="inlineStr">
        <is>
          <t>Matches the 4 WAF rules in Infra Cost.</t>
        </is>
      </c>
    </row>
    <row r="40" ht="41" customHeight="1" s="42">
      <c r="A40" s="26" t="inlineStr">
        <is>
          <t>12. CloudFront + WAF</t>
        </is>
      </c>
      <c r="B40" s="38" t="n">
        <v>4</v>
      </c>
      <c r="C40" s="20" t="inlineStr">
        <is>
          <t>Add www.dealndrive.ai and dealndrive.ai as alternate domain names and select the us-east-1 certificate. Add a CloudFront Function that redirects dealndrive.ai to https://www.dealndrive.ai.</t>
        </is>
      </c>
      <c r="D40" s="20" t="inlineStr">
        <is>
          <t>CloudFront &gt; Distribution &gt; Settings; CloudFront &gt; Functions</t>
        </is>
      </c>
      <c r="E40" s="23" t="inlineStr">
        <is>
          <t>www.dealndrive.ai is the one canonical address.</t>
        </is>
      </c>
    </row>
    <row r="41" ht="28" customHeight="1" s="42">
      <c r="A41" s="26" t="inlineStr">
        <is>
          <t>13. DNS (dealndrive.ai)</t>
        </is>
      </c>
      <c r="B41" s="38" t="n">
        <v>1</v>
      </c>
      <c r="C41" s="20" t="inlineStr">
        <is>
          <t>The domain stays registered at GoDaddy. Create a Route 53 public hosted zone for dealndrive.ai.</t>
        </is>
      </c>
      <c r="D41" s="20" t="inlineStr">
        <is>
          <t>Route 53 &gt; Hosted zones &gt; Create hosted zone</t>
        </is>
      </c>
      <c r="E41" s="23" t="inlineStr">
        <is>
          <t>Only the DNS moves; registration and renewal stay at GoDaddy.</t>
        </is>
      </c>
    </row>
    <row r="42" ht="54" customHeight="1" s="42">
      <c r="A42" s="26" t="inlineStr">
        <is>
          <t>13. DNS (dealndrive.ai)</t>
        </is>
      </c>
      <c r="B42" s="38" t="n">
        <v>2</v>
      </c>
      <c r="C42" s="20" t="inlineStr">
        <is>
          <t>Copy every existing Microsoft 365 email record from the GoDaddy zone into Route 53 first: MX (dealndrive-ai.mail.protection.outlook.com), SPF and onmicrosoft TXT, _dmarc TXT, selector1/selector2._domainkey, autodiscover, lyncdiscover, msoid, sip, the two SRV records and the pay CNAME.</t>
        </is>
      </c>
      <c r="D42" s="20" t="inlineStr">
        <is>
          <t>GoDaddy &gt; Domain &gt; DNS &gt; Export zone file; Route 53 &gt; Import zone file</t>
        </is>
      </c>
      <c r="E42" s="23" t="inlineStr">
        <is>
          <t>Skipping this stops company email when the nameservers change.</t>
        </is>
      </c>
    </row>
    <row r="43" ht="41" customHeight="1" s="42">
      <c r="A43" s="26" t="inlineStr">
        <is>
          <t>13. DNS (dealndrive.ai)</t>
        </is>
      </c>
      <c r="B43" s="38" t="n">
        <v>3</v>
      </c>
      <c r="C43" s="20" t="inlineStr">
        <is>
          <t>Add the ACM validation CNAMEs and A/AAAA alias records for dealndrive.ai and www.dealndrive.ai pointing to the CloudFront distribution. Lower the GoDaddy record TTLs to 300 s a day before the switch.</t>
        </is>
      </c>
      <c r="D43" s="20" t="inlineStr">
        <is>
          <t>Route 53 &gt; Hosted zones &gt; dealndrive.ai</t>
        </is>
      </c>
      <c r="E43" s="23" t="inlineStr">
        <is>
          <t>Alias queries to CloudFront are free.</t>
        </is>
      </c>
    </row>
    <row r="44" ht="41" customHeight="1" s="42">
      <c r="A44" s="26" t="inlineStr">
        <is>
          <t>13. DNS (dealndrive.ai)</t>
        </is>
      </c>
      <c r="B44" s="38" t="n">
        <v>4</v>
      </c>
      <c r="C44" s="20" t="inlineStr">
        <is>
          <t>Switch nameservers: replace ns23/ns24.domaincontrol.com with the 4 Route 53 nameservers. The current site (A record 216.198.79.1) keeps serving until DNS propagates (up to 48 hours).</t>
        </is>
      </c>
      <c r="D44" s="20" t="inlineStr">
        <is>
          <t>GoDaddy &gt; Domain &gt; Nameservers &gt; Change &gt; I'll use my own nameservers</t>
        </is>
      </c>
      <c r="E44" s="23" t="inlineStr">
        <is>
          <t>Test email in and out right after the switch.</t>
        </is>
      </c>
    </row>
    <row r="45" ht="41" customHeight="1" s="42">
      <c r="A45" s="26" t="inlineStr">
        <is>
          <t>14. Monitoring</t>
        </is>
      </c>
      <c r="B45" s="38" t="n">
        <v>1</v>
      </c>
      <c r="C45" s="20" t="inlineStr">
        <is>
          <t>Create 20 alarms, starting with: ALB 5xx count, unhealthy targets, ECS running tasks &lt; desired, ECS CPU / memory &gt; 80%, RDS CPU &gt; 80%, RDS free storage &lt; 10 GB. Send them to an SNS email topic.</t>
        </is>
      </c>
      <c r="D45" s="20" t="inlineStr">
        <is>
          <t>CloudWatch &gt; Alarms &gt; Create alarm</t>
        </is>
      </c>
      <c r="E45" s="23" t="inlineStr">
        <is>
          <t>Matches the 20 alarms in Infra Cost.</t>
        </is>
      </c>
    </row>
    <row r="46" ht="28" customHeight="1" s="42">
      <c r="A46" s="26" t="inlineStr">
        <is>
          <t>15. Security scanning</t>
        </is>
      </c>
      <c r="B46" s="38" t="n">
        <v>1</v>
      </c>
      <c r="C46" s="20" t="inlineStr">
        <is>
          <t>Turn on Amazon Inspector for ECR image scanning (or keep ECR basic scan on push).</t>
        </is>
      </c>
      <c r="D46" s="20" t="inlineStr">
        <is>
          <t>Amazon Inspector &gt; Get started</t>
        </is>
      </c>
      <c r="E46" s="23" t="inlineStr">
        <is>
          <t>About $3/month at 30 image pushes (estimate).</t>
        </is>
      </c>
    </row>
    <row r="47" ht="41" customHeight="1" s="42">
      <c r="A47" s="26" t="inlineStr">
        <is>
          <t>16. CI/CD (GitHub Actions)</t>
        </is>
      </c>
      <c r="B47" s="38" t="n">
        <v>1</v>
      </c>
      <c r="C47" s="20" t="inlineStr">
        <is>
          <t>Update the pipeline: assume the deploy role through OIDC, build and push the API image to ECR, run the migration task, then update the ECS service and wait until it is stable.</t>
        </is>
      </c>
      <c r="D47" s="20" t="inlineStr">
        <is>
          <t>.github/workflows/ci-cd.yml</t>
        </is>
      </c>
      <c r="E47" s="23" t="inlineStr">
        <is>
          <t>Replaces the Docker Hub push and EC2 SSH deploy.</t>
        </is>
      </c>
    </row>
    <row r="48" ht="41" customHeight="1" s="42">
      <c r="A48" s="26" t="inlineStr">
        <is>
          <t>16. CI/CD (GitHub Actions)</t>
        </is>
      </c>
      <c r="B48" s="38" t="n">
        <v>2</v>
      </c>
      <c r="C48" s="20" t="inlineStr">
        <is>
          <t>Build the frontend with VITE_API_BASE_URL=https://www.dealndrive.ai/api/v1 and VITE_WS_BASE_URL=wss://www.dealndrive.ai/api/v1/ws, sync it to the frontend bucket and invalidate /index.html.</t>
        </is>
      </c>
      <c r="D48" s="20" t="inlineStr">
        <is>
          <t>GitHub &gt; Settings &gt; Variables; frontend/</t>
        </is>
      </c>
      <c r="E48" s="23" t="inlineStr">
        <is>
          <t>Remove DEV_EC2_HOST, DEV_EC2_SSH_KEY and Docker Hub secrets afterwards.</t>
        </is>
      </c>
    </row>
    <row r="49" ht="28" customHeight="1" s="42">
      <c r="A49" s="26" t="inlineStr">
        <is>
          <t>17. OpenAI account</t>
        </is>
      </c>
      <c r="B49" s="38" t="n">
        <v>1</v>
      </c>
      <c r="C49" s="20" t="inlineStr">
        <is>
          <t>Create an OpenAI API platform account with a company email. This is separate from a ChatGPT subscription.</t>
        </is>
      </c>
      <c r="D49" s="20" t="inlineStr">
        <is>
          <t>platform.openai.com &gt; Sign up</t>
        </is>
      </c>
      <c r="E49" s="23" t="inlineStr">
        <is>
          <t>API usage is billed separately from ChatGPT plans.</t>
        </is>
      </c>
    </row>
    <row r="50" ht="28" customHeight="1" s="42">
      <c r="A50" s="26" t="inlineStr">
        <is>
          <t>17. OpenAI account</t>
        </is>
      </c>
      <c r="B50" s="38" t="n">
        <v>2</v>
      </c>
      <c r="C50" s="20" t="inlineStr">
        <is>
          <t>Set the organization name and invite teammates with the right roles (Owner only for admins; Reader / member for others).</t>
        </is>
      </c>
      <c r="D50" s="20" t="inlineStr">
        <is>
          <t>Settings &gt; Organization &gt; General / Members</t>
        </is>
      </c>
      <c r="E50" s="23" t="inlineStr">
        <is>
          <t>Each person gets their own login.</t>
        </is>
      </c>
    </row>
    <row r="51" ht="28" customHeight="1" s="42">
      <c r="A51" s="26" t="inlineStr">
        <is>
          <t>17. OpenAI account</t>
        </is>
      </c>
      <c r="B51" s="38" t="n">
        <v>3</v>
      </c>
      <c r="C51" s="20" t="inlineStr">
        <is>
          <t>Create two projects: 'DriveDeal Production' and 'DriveDeal Development', so keys, usage and limits are separated.</t>
        </is>
      </c>
      <c r="D51" s="20" t="inlineStr">
        <is>
          <t>Settings &gt; Projects &gt; Create project</t>
        </is>
      </c>
      <c r="E51" s="23" t="inlineStr">
        <is>
          <t>API keys belong to a project.</t>
        </is>
      </c>
    </row>
    <row r="52" ht="28" customHeight="1" s="42">
      <c r="A52" s="26" t="inlineStr">
        <is>
          <t>18. OpenAI billing</t>
        </is>
      </c>
      <c r="B52" s="38" t="n">
        <v>1</v>
      </c>
      <c r="C52" s="20" t="inlineStr">
        <is>
          <t>Add a payment method and buy prepaid credits (start with about 2x the monthly OpenAI cost on the AI Cost sheet). Optionally enable auto-recharge.</t>
        </is>
      </c>
      <c r="D52" s="20" t="inlineStr">
        <is>
          <t>Settings &gt; Billing</t>
        </is>
      </c>
      <c r="E52" s="23" t="inlineStr">
        <is>
          <t>Usage stops if credits run out and auto-recharge is off.</t>
        </is>
      </c>
    </row>
    <row r="53" ht="28" customHeight="1" s="42">
      <c r="A53" s="26" t="inlineStr">
        <is>
          <t>18. OpenAI billing</t>
        </is>
      </c>
      <c r="B53" s="38" t="n">
        <v>2</v>
      </c>
      <c r="C53" s="20" t="inlineStr">
        <is>
          <t>Set a monthly budget and alert on the Production project at the 'Suggested OpenAI project budget' from the AI Cost sheet.</t>
        </is>
      </c>
      <c r="D53" s="20" t="inlineStr">
        <is>
          <t>Settings &gt; Projects &gt; [project] &gt; Limits / Budgets</t>
        </is>
      </c>
      <c r="E53" s="23" t="inlineStr">
        <is>
          <t>Guards against unexpected spend.</t>
        </is>
      </c>
    </row>
    <row r="54" ht="28" customHeight="1" s="42">
      <c r="A54" s="26" t="inlineStr">
        <is>
          <t>18. OpenAI billing</t>
        </is>
      </c>
      <c r="B54" s="38" t="n">
        <v>3</v>
      </c>
      <c r="C54" s="20" t="inlineStr">
        <is>
          <t>Check the rate limits (requests and tokens per minute) for your model; limits rise automatically with your usage tier.</t>
        </is>
      </c>
      <c r="D54" s="20" t="inlineStr">
        <is>
          <t>Settings &gt; Limits</t>
        </is>
      </c>
      <c r="E54" s="23" t="inlineStr">
        <is>
          <t>Enable only the models the app uses.</t>
        </is>
      </c>
    </row>
    <row r="55" ht="28" customHeight="1" s="42">
      <c r="A55" s="26" t="inlineStr">
        <is>
          <t>19. Create the API key</t>
        </is>
      </c>
      <c r="B55" s="38" t="n">
        <v>1</v>
      </c>
      <c r="C55" s="20" t="inlineStr">
        <is>
          <t>In the Production project, create a secret key owned by a service account (not a personal user) named e.g. drivedeal-prod-backend.</t>
        </is>
      </c>
      <c r="D55" s="20" t="inlineStr">
        <is>
          <t>Dashboard &gt; API keys &gt; Create new secret key</t>
        </is>
      </c>
      <c r="E55" s="23" t="inlineStr">
        <is>
          <t>Service-account keys keep working when a person leaves.</t>
        </is>
      </c>
    </row>
    <row r="56" ht="28" customHeight="1" s="42">
      <c r="A56" s="26" t="inlineStr">
        <is>
          <t>19. Create the API key</t>
        </is>
      </c>
      <c r="B56" s="38" t="n">
        <v>2</v>
      </c>
      <c r="C56" s="20" t="inlineStr">
        <is>
          <t>Restrict permissions to what the backend needs (model requests / Responses API) instead of 'All'.</t>
        </is>
      </c>
      <c r="D56" s="20" t="inlineStr">
        <is>
          <t>Create secret key &gt; Permissions: Restricted</t>
        </is>
      </c>
      <c r="E56" s="23" t="inlineStr">
        <is>
          <t>Least privilege limits damage if the key leaks.</t>
        </is>
      </c>
    </row>
    <row r="57" ht="28" customHeight="1" s="42">
      <c r="A57" s="26" t="inlineStr">
        <is>
          <t>19. Create the API key</t>
        </is>
      </c>
      <c r="B57" s="38" t="n">
        <v>3</v>
      </c>
      <c r="C57" s="20" t="inlineStr">
        <is>
          <t>Copy the key immediately - OpenAI shows it only once - and paste it straight into AWS Secrets Manager (drivedeal/prod/OPENAI_API_KEY).</t>
        </is>
      </c>
      <c r="D57" s="20" t="inlineStr">
        <is>
          <t>Secrets Manager</t>
        </is>
      </c>
      <c r="E57" s="23" t="inlineStr">
        <is>
          <t>Do not paste it into chat, email, tickets or code.</t>
        </is>
      </c>
    </row>
    <row r="58" ht="28" customHeight="1" s="42">
      <c r="A58" s="26" t="inlineStr">
        <is>
          <t>19. Create the API key</t>
        </is>
      </c>
      <c r="B58" s="38" t="n">
        <v>4</v>
      </c>
      <c r="C58" s="20" t="inlineStr">
        <is>
          <t>For local development, each developer creates their own key in the Development project and puts it in backend/.env (git-ignored).</t>
        </is>
      </c>
      <c r="D58" s="20" t="inlineStr">
        <is>
          <t>backend/.env</t>
        </is>
      </c>
      <c r="E58" s="23" t="inlineStr">
        <is>
          <t>The repository's .gitleaks.toml helps catch committed secrets.</t>
        </is>
      </c>
    </row>
    <row r="59" ht="41" customHeight="1" s="42">
      <c r="A59" s="26" t="inlineStr">
        <is>
          <t>19. Create the API key</t>
        </is>
      </c>
      <c r="B59" s="38" t="n">
        <v>5</v>
      </c>
      <c r="C59" s="20" t="inlineStr">
        <is>
          <t>Point the app at the key: OPENAI_API_KEY from the secret, AI_PROVIDER=openai, OPENAI_MODEL = the priced model. The backend uses OPENAI_API_KEY first, before any Codex credential.</t>
        </is>
      </c>
      <c r="D59" s="20" t="inlineStr">
        <is>
          <t>ECS task definition / backend/.env</t>
        </is>
      </c>
      <c r="E59" s="23" t="inlineStr">
        <is>
          <t>Force a new ECS deployment after changing it.</t>
        </is>
      </c>
    </row>
    <row r="60" ht="28" customHeight="1" s="42">
      <c r="A60" s="26" t="inlineStr">
        <is>
          <t>19. Create the API key</t>
        </is>
      </c>
      <c r="B60" s="38" t="n">
        <v>6</v>
      </c>
      <c r="C60" s="20" t="inlineStr">
        <is>
          <t>Test: send one Sera message and check the backend log line agent_llm_call shows provider=openai and status=success.</t>
        </is>
      </c>
      <c r="D60" s="20" t="inlineStr">
        <is>
          <t>CloudWatch Logs (/ecs/drivedeal-prod-api)</t>
        </is>
      </c>
      <c r="E60" s="23" t="n"/>
    </row>
    <row r="61" ht="28" customHeight="1" s="42">
      <c r="A61" s="26" t="inlineStr">
        <is>
          <t>20. Share the key safely</t>
        </is>
      </c>
      <c r="B61" s="38" t="n">
        <v>1</v>
      </c>
      <c r="C61" s="20" t="inlineStr">
        <is>
          <t>Do not share the raw key with people. Invite them to the OpenAI project so they create their own keys.</t>
        </is>
      </c>
      <c r="D61" s="20" t="inlineStr">
        <is>
          <t>OpenAI Settings &gt; Projects &gt; Members</t>
        </is>
      </c>
      <c r="E61" s="23" t="inlineStr">
        <is>
          <t>Every key is then traceable to one owner.</t>
        </is>
      </c>
    </row>
    <row r="62" ht="28" customHeight="1" s="42">
      <c r="A62" s="26" t="inlineStr">
        <is>
          <t>20. Share the key safely</t>
        </is>
      </c>
      <c r="B62" s="38" t="n">
        <v>2</v>
      </c>
      <c r="C62" s="20" t="inlineStr">
        <is>
          <t>Share the production key only with systems: grant read access to the Secrets Manager secret through IAM (ECS task execution role).</t>
        </is>
      </c>
      <c r="D62" s="20" t="inlineStr">
        <is>
          <t>IAM policy on drivedeal/prod/OPENAI_API_KEY</t>
        </is>
      </c>
      <c r="E62" s="23" t="inlineStr">
        <is>
          <t>No human ever needs to see the production key.</t>
        </is>
      </c>
    </row>
    <row r="63" ht="28" customHeight="1" s="42">
      <c r="A63" s="26" t="inlineStr">
        <is>
          <t>20. Share the key safely</t>
        </is>
      </c>
      <c r="B63" s="38" t="n">
        <v>3</v>
      </c>
      <c r="C63" s="20" t="inlineStr">
        <is>
          <t>If a person must hand over a key, use the company password manager's shared vault or a one-time secret link - never chat or email.</t>
        </is>
      </c>
      <c r="D63" s="20" t="inlineStr">
        <is>
          <t>Company password manager</t>
        </is>
      </c>
      <c r="E63" s="23" t="n"/>
    </row>
    <row r="64" ht="41" customHeight="1" s="42">
      <c r="A64" s="26" t="inlineStr">
        <is>
          <t>20. Share the key safely</t>
        </is>
      </c>
      <c r="B64" s="38" t="n">
        <v>4</v>
      </c>
      <c r="C64" s="20" t="inlineStr">
        <is>
          <t>Rotate keys: create a new key, update the secret, restart the app, then revoke the old key. Do this every 90 days, when someone leaves, or immediately if a key leaks.</t>
        </is>
      </c>
      <c r="D64" s="20" t="inlineStr">
        <is>
          <t>Dashboard &gt; API keys; Secrets Manager</t>
        </is>
      </c>
      <c r="E64" s="23" t="inlineStr">
        <is>
          <t>Revoking a key takes effect immediately.</t>
        </is>
      </c>
    </row>
    <row r="65" ht="28" customHeight="1" s="42">
      <c r="A65" s="26" t="inlineStr">
        <is>
          <t>21. Monitor OpenAI spend</t>
        </is>
      </c>
      <c r="B65" s="38" t="n">
        <v>1</v>
      </c>
      <c r="C65" s="20" t="inlineStr">
        <is>
          <t>Review usage per project weekly for the first month and compare with the AI Cost sheet; update the token assumptions with real numbers.</t>
        </is>
      </c>
      <c r="D65" s="20" t="inlineStr">
        <is>
          <t>Settings &gt; Usage</t>
        </is>
      </c>
      <c r="E65" s="23" t="inlineStr">
        <is>
          <t>Web search tool calls are billed per call in addition to tokens.</t>
        </is>
      </c>
    </row>
    <row r="67">
      <c r="A67" s="39" t="inlineStr">
        <is>
          <t>Sources</t>
        </is>
      </c>
    </row>
    <row r="68">
      <c r="A68" s="40" t="inlineStr">
        <is>
          <t>AWS pricing pages: Fargate, ELB, VPC (NAT Gateway, public IPv4), CloudFront, WAF, RDS PostgreSQL, S3, CloudWatch, Secrets Manager, Route 53, ECR, Inspector (aws.amazon.com/&lt;service&gt;/pricing), us-east-1.</t>
        </is>
      </c>
    </row>
    <row r="69">
      <c r="A69" s="40" t="inlineStr">
        <is>
          <t>OpenAI API pricing: developers.openai.com/api/docs/pricing, reviewed 12-Oct-2026 in the team TCO model.</t>
        </is>
      </c>
    </row>
    <row r="70">
      <c r="A70" s="40" t="inlineStr">
        <is>
          <t>Application settings: deploy/task-definition/backend.yml, backend/src/settings.py, backend/src/agents/llm.py (credential order) in this repository.</t>
        </is>
      </c>
    </row>
    <row r="71">
      <c r="A71" s="40" t="inlineStr">
        <is>
          <t>Architecture and Terraform plan: define/AWS-Setup-Guide.md.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2026-10-27T14:59:37Z</dcterms:created>
  <dcterms:modified xmlns:dcterms="http://purl.org/dc/terms/" xmlns:xsi="http://www.w3.org/2001/XMLSchema-instance" xsi:type="dcterms:W3CDTF">2026-10-27T14:59:37Z</dcterms:modified>
</cp:coreProperties>
</file>