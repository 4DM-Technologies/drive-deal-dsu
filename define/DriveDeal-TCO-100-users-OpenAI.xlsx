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6724b36e7d46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353ba96601f4fe6"/>
    <x:sheet xmlns:r="http://schemas.openxmlformats.org/officeDocument/2006/relationships" name="Infra Cost" sheetId="2" r:id="Ra7e3c3611e3d46cb"/>
    <x:sheet xmlns:r="http://schemas.openxmlformats.org/officeDocument/2006/relationships" name="AI Cost" sheetId="3" r:id="R1289d5c373534cac"/>
    <x:sheet xmlns:r="http://schemas.openxmlformats.org/officeDocument/2006/relationships" name="Setup Guide" sheetId="4" r:id="R560901074efe42ad"/>
  </x:sheets>
</x:workbook>
</file>

<file path=xl/comments1.xml><?xml version="1.0" encoding="utf-8"?>
<x:comments xmlns:x="http://schemas.openxmlformats.org/spreadsheetml/2006/main">
  <x:authors>
    <x:author>TCO</x:author>
  </x:authors>
  <x:commentList>
    <x:comment ref="F12" authorId="0">
      <x:text>
        <x:r>
          <x:t>Blue unit prices are editable inputs. Source: team TCO workbook, AWS public pricing reviewed 12-Oct-2026.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<x:sst xmlns:x="http://schemas.openxmlformats.org/spreadsheetml/2006/main">
  <x:si>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DriveDeal monthly operating cost - 100 users - OpenAI API</x:t>
  </x:si>
  <x:si>
    <x:t xml:space="preserve">USD - AWS us-east-1 hosting + OpenAI API pay-as-you-go for the Sera AI advisor - all figures link to the detail sheets</x:t>
  </x:si>
  <x:si>
    <x:t xml:space="preserve">Usage</x:t>
  </x:si>
  <x:si>
    <x:t xml:space="preserve">Metric</x:t>
  </x:si>
  <x:si>
    <x:t xml:space="preserve">Monthly</x:t>
  </x:si>
  <x:si>
    <x:t xml:space="preserve">Source</x:t>
  </x:si>
  <x:si>
    <x:t xml:space="preserve">Monthly active users</x:t>
  </x:si>
  <x:si>
    <x:t xml:space="preserve">AI Cost / Infra Cost input</x:t>
  </x:si>
  <x:si>
    <x:t xml:space="preserve">AI chat messages</x:t>
  </x:si>
  <x:si>
    <x:t xml:space="preserve">AI Cost</x:t>
  </x:si>
  <x:si>
    <x:t xml:space="preserve">OpenAI model calls</x:t>
  </x:si>
  <x:si>
    <x:t xml:space="preserve">Input tokens</x:t>
  </x:si>
  <x:si>
    <x:t xml:space="preserve">Output tokens</x:t>
  </x:si>
  <x:si>
    <x:t xml:space="preserve">Hosted web search calls</x:t>
  </x:si>
  <x:si>
    <x:t xml:space="preserve">Monthly operating cost</x:t>
  </x:si>
  <x:si>
    <x:t xml:space="preserve">Cost line</x:t>
  </x:si>
  <x:si>
    <x:t xml:space="preserve">Monthly (USD)</x:t>
  </x:si>
  <x:si>
    <x:t xml:space="preserve">Annual (USD)</x:t>
  </x:si>
  <x:si>
    <x:t xml:space="preserve">Per user / month (USD)</x:t>
  </x:si>
  <x:si>
    <x:t xml:space="preserve">Share of total</x:t>
  </x:si>
  <x:si>
    <x:t xml:space="preserve">AWS infrastructure</x:t>
  </x:si>
  <x:si>
    <x:t xml:space="preserve">OpenAI API (Sera AI)</x:t>
  </x:si>
  <x:si>
    <x:t xml:space="preserve">Total operating cost</x:t>
  </x:si>
  <x:si>
    <x:t xml:space="preserve">AWS cost by category</x:t>
  </x:si>
  <x:si>
    <x:t xml:space="preserve">Category</x:t>
  </x:si>
  <x:si>
    <x:t xml:space="preserve">Share of AWS</x:t>
  </x:si>
  <x:si>
    <x:t xml:space="preserve">Compute</x:t>
  </x:si>
  <x:si>
    <x:t xml:space="preserve">Database</x:t>
  </x:si>
  <x:si>
    <x:t xml:space="preserve">Load balancer</x:t>
  </x:si>
  <x:si>
    <x:t xml:space="preserve">Network</x:t>
  </x:si>
  <x:si>
    <x:t xml:space="preserve">Storage</x:t>
  </x:si>
  <x:si>
    <x:t xml:space="preserve">Monitoring</x:t>
  </x:si>
  <x:si>
    <x:t xml:space="preserve">Security</x:t>
  </x:si>
  <x:si>
    <x:t xml:space="preserve">DNS</x:t>
  </x:si>
  <x:si>
    <x:t xml:space="preserve">Registry</x:t>
  </x:si>
  <x:si>
    <x:t xml:space="preserve">Total (check = AWS infrastructure)</x:t>
  </x:si>
  <x:si>
    <x:t xml:space="preserve">Key points</x:t>
  </x:si>
  <x:si>
    <x:t xml:space="preserve">- AWS hosting is most of the cost at 100 users; the OpenAI API is a small, usage-based share.</x:t>
  </x:si>
  <x:si>
    <x:t xml:space="preserve">- OpenAI API is pay-as-you-go (prepaid credits): no subscription fee. Set a project budget alert at the 'Suggested budget' on the AI Cost sheet.</x:t>
  </x:si>
  <x:si>
    <x:t xml:space="preserve">- Single EC2 host and Single-AZ RDS: lowest cost, but no failover. Multi-AZ RDS roughly doubles the database line.</x:t>
  </x:si>
  <x:si>
    <x:t xml:space="preserve">- Token and traffic figures are planning estimates; replace them with OpenAI usage and AWS billing data after the first month.</x:t>
  </x:si>
  <x:si>
    <x:t xml:space="preserve">- Excluded: domain registration, AWS Support plan, taxes, staging environments, engineering time, the Codex subscription.</x:t>
  </x:si>
  <x:si>
    <x:t xml:space="preserve">- How to create each AWS service and the OpenAI API key is on the Setup Guide sheet.</x:t>
  </x:si>
  <x:si>
    <x:t xml:space="preserve">Legend</x:t>
  </x:si>
  <x:si>
    <x:t xml:space="preserve">Blue text, yellow fill</x:t>
  </x:si>
  <x:si>
    <x:t xml:space="preserve">Editable input / assumption - change these</x:t>
  </x:si>
  <x:si>
    <x:t xml:space="preserve">Black text</x:t>
  </x:si>
  <x:si>
    <x:t xml:space="preserve">Formula - do not overwrite</x:t>
  </x:si>
  <x:si>
    <x:t xml:space="preserve">Green text</x:t>
  </x:si>
  <x:si>
    <x:t xml:space="preserve">Linked from another sheet</x:t>
  </x:si>
  <x:si>
    <x:t xml:space="preserve">AWS infrastructure cost - 100 monthly users</x:t>
  </x:si>
  <x:si>
    <x:t xml:space="preserve">USD per month - us-east-1 - single EC2 host, Single-AZ PostgreSQL - unit prices from DriveDeal-TCO (1).xlsx (team TCO model, rates reviewed 12-Oct-2026)</x:t>
  </x:si>
  <x:si>
    <x:t xml:space="preserve">Infrastructure inputs</x:t>
  </x:si>
  <x:si>
    <x:t xml:space="preserve">Input</x:t>
  </x:si>
  <x:si>
    <x:t xml:space="preserve">Value</x:t>
  </x:si>
  <x:si>
    <x:t xml:space="preserve">Unit</x:t>
  </x:si>
  <x:si>
    <x:t xml:space="preserve">Basis</x:t>
  </x:si>
  <x:si>
    <x:t xml:space="preserve">users</x:t>
  </x:si>
  <x:si>
    <x:t xml:space="preserve">Sizing target for this workbook (user request).</x:t>
  </x:si>
  <x:si>
    <x:t xml:space="preserve">Billable hours per month</x:t>
  </x:si>
  <x:si>
    <x:t xml:space="preserve">hours</x:t>
  </x:si>
  <x:si>
    <x:t xml:space="preserve">AWS monthly planning convention (24 x 365 / 12).</x:t>
  </x:si>
  <x:si>
    <x:t xml:space="preserve">Backend + frontend EC2 hosts</x:t>
  </x:si>
  <x:si>
    <x:t xml:space="preserve">hosts</x:t>
  </x:si>
  <x:si>
    <x:t xml:space="preserve">Current deployment runs both containers on one host; not load-tested.</x:t>
  </x:si>
  <x:si>
    <x:t xml:space="preserve">AWS free internet egress allowance</x:t>
  </x:si>
  <x:si>
    <x:t xml:space="preserve">GB/month</x:t>
  </x:si>
  <x:si>
    <x:t xml:space="preserve">AWS free data-transfer-out allowance; reduce if used by other workloads.</x:t>
  </x:si>
  <x:si>
    <x:t xml:space="preserve">AWS services needed and monthly cost</x:t>
  </x:si>
  <x:si>
    <x:t xml:space="preserve">AWS service</x:t>
  </x:si>
  <x:si>
    <x:t xml:space="preserve">What it does for DriveDeal</x:t>
  </x:si>
  <x:si>
    <x:t xml:space="preserve">Configuration</x:t>
  </x:si>
  <x:si>
    <x:t xml:space="preserve">Billing unit</x:t>
  </x:si>
  <x:si>
    <x:t xml:space="preserve">Unit price (USD)</x:t>
  </x:si>
  <x:si>
    <x:t xml:space="preserve">Quantity / month</x:t>
  </x:si>
  <x:si>
    <x:t xml:space="preserve">Monthly cost (USD)</x:t>
  </x:si>
  <x:si>
    <x:t xml:space="preserve">Needed?</x:t>
  </x:si>
  <x:si>
    <x:t xml:space="preserve">Notes / source</x:t>
  </x:si>
  <x:si>
    <x:t xml:space="preserve">Amazon EC2 (t3a.medium)</x:t>
  </x:si>
  <x:si>
    <x:t xml:space="preserve">Runs the FastAPI backend and React frontend Docker containers.</x:t>
  </x:si>
  <x:si>
    <x:t xml:space="preserve">Linux On-Demand, 2 vCPU / 4 GB, Amazon Linux 2023</x:t>
  </x:si>
  <x:si>
    <x:t xml:space="preserve">instance-hour</x:t>
  </x:si>
  <x:si>
    <x:t xml:space="preserve">Required</x:t>
  </x:si>
  <x:si>
    <x:t xml:space="preserve">EC2 pricing (aws.amazon.com/ec2/pricing/on-demand). Burst CPU-credit charges excluded. Requote for your region.</x:t>
  </x:si>
  <x:si>
    <x:t xml:space="preserve">Public IPv4 address (EC2)</x:t>
  </x:si>
  <x:si>
    <x:t xml:space="preserve">Outbound internet path for the EC2 host (OpenAI API, web search, Docker pulls).</x:t>
  </x:si>
  <x:si>
    <x:t xml:space="preserve">1 public IPv4 per host</x:t>
  </x:si>
  <x:si>
    <x:t xml:space="preserve">IP-hour</x:t>
  </x:si>
  <x:si>
    <x:t xml:space="preserve">VPC pricing (aws.amazon.com/vpc/pricing). AWS bills every public IPv4 hourly.</x:t>
  </x:si>
  <x:si>
    <x:t xml:space="preserve">Application Load Balancer - hourly</x:t>
  </x:si>
  <x:si>
    <x:t xml:space="preserve">HTTPS entry point; routes traffic to the EC2 host; terminates TLS.</x:t>
  </x:si>
  <x:si>
    <x:t xml:space="preserve">Internet-facing, 2 AZs, idle timeout raised for SSE streaming</x:t>
  </x:si>
  <x:si>
    <x:t xml:space="preserve">ALB-hour</x:t>
  </x:si>
  <x:si>
    <x:t xml:space="preserve">ELB pricing (aws.amazon.com/elasticloadbalancing/pricing).</x:t>
  </x:si>
  <x:si>
    <x:t xml:space="preserve">Application Load Balancer - LCU</x:t>
  </x:si>
  <x:si>
    <x:t xml:space="preserve">Traffic capacity units used by requests, SSE and WebSockets.</x:t>
  </x:si>
  <x:si>
    <x:t xml:space="preserve">Estimated 50 LCU-hours / month at 100 users</x:t>
  </x:si>
  <x:si>
    <x:t xml:space="preserve">LCU-hour</x:t>
  </x:si>
  <x:si>
    <x:t xml:space="preserve">ELB pricing. Replace the quantity with CloudWatch ConsumedLCUs after launch.</x:t>
  </x:si>
  <x:si>
    <x:t xml:space="preserve">Public IPv4 addresses (ALB)</x:t>
  </x:si>
  <x:si>
    <x:t xml:space="preserve">Public addresses the ALB needs in its two Availability Zones.</x:t>
  </x:si>
  <x:si>
    <x:t xml:space="preserve">2 addresses (one per AZ)</x:t>
  </x:si>
  <x:si>
    <x:t xml:space="preserve">VPC pricing.</x:t>
  </x:si>
  <x:si>
    <x:t xml:space="preserve">Amazon RDS for PostgreSQL (db.t4g.small)</x:t>
  </x:si>
  <x:si>
    <x:t xml:space="preserve">Marketplace database: users, requests, quotes, chats, Sera memory and traces.</x:t>
  </x:si>
  <x:si>
    <x:t xml:space="preserve">Single-AZ, PostgreSQL, not publicly accessible</x:t>
  </x:si>
  <x:si>
    <x:t xml:space="preserve">RDS pricing (aws.amazon.com/rds/postgresql/pricing). No standby failover; Multi-AZ roughly doubles this line.</x:t>
  </x:si>
  <x:si>
    <x:t xml:space="preserve">RDS gp3 storage</x:t>
  </x:si>
  <x:si>
    <x:t xml:space="preserve">Disk for the PostgreSQL database.</x:t>
  </x:si>
  <x:si>
    <x:t xml:space="preserve">100 GB gp3</x:t>
  </x:si>
  <x:si>
    <x:t xml:space="preserve">GB-month</x:t>
  </x:si>
  <x:si>
    <x:t xml:space="preserve">RDS pricing. Monitor growth and free-storage alarms.</x:t>
  </x:si>
  <x:si>
    <x:t xml:space="preserve">RDS backup storage beyond free allowance</x:t>
  </x:si>
  <x:si>
    <x:t xml:space="preserve">Automated backups and snapshots above the free allowance.</x:t>
  </x:si>
  <x:si>
    <x:t xml:space="preserve">7-day automated backups (fit in the free allowance)</x:t>
  </x:si>
  <x:si>
    <x:t xml:space="preserve">RDS pricing. Free backup storage equals provisioned storage; only excess is billed.</x:t>
  </x:si>
  <x:si>
    <x:t xml:space="preserve">Amazon S3 Standard - storage</x:t>
  </x:si>
  <x:si>
    <x:t xml:space="preserve">Quote photos, dealer documents, buyer driving licences, support attachments, Codex OAuth state.</x:t>
  </x:si>
  <x:si>
    <x:t xml:space="preserve">Private bucket, Block Public Access on, SSE-S3 encryption</x:t>
  </x:si>
  <x:si>
    <x:t xml:space="preserve">S3 pricing (aws.amazon.com/s3/pricing). Includes versioned objects.</x:t>
  </x:si>
  <x:si>
    <x:t xml:space="preserve">Amazon S3 - PUT requests</x:t>
  </x:si>
  <x:si>
    <x:t xml:space="preserve">Uploads of photos and documents.</x:t>
  </x:si>
  <x:si>
    <x:t xml:space="preserve">Estimated 10,000 uploads/month</x:t>
  </x:si>
  <x:si>
    <x:t xml:space="preserve">1,000 requests</x:t>
  </x:si>
  <x:si>
    <x:t xml:space="preserve">S3 pricing. Quantity is in thousands (10 = 10,000 requests).</x:t>
  </x:si>
  <x:si>
    <x:t xml:space="preserve">Amazon S3 - GET requests</x:t>
  </x:si>
  <x:si>
    <x:t xml:space="preserve">Downloads through short-lived pre-signed URLs.</x:t>
  </x:si>
  <x:si>
    <x:t xml:space="preserve">Estimated 100,000 downloads/month</x:t>
  </x:si>
  <x:si>
    <x:t xml:space="preserve">S3 pricing. Quantity is in thousands (100 = 100,000 requests).</x:t>
  </x:si>
  <x:si>
    <x:t xml:space="preserve">Data transfer out to internet</x:t>
  </x:si>
  <x:si>
    <x:t xml:space="preserve">API responses, page assets and media downloads to buyers and dealers.</x:t>
  </x:si>
  <x:si>
    <x:t xml:space="preserve">Estimated 50 GB/month, after the free allowance</x:t>
  </x:si>
  <x:si>
    <x:t xml:space="preserve">GB</x:t>
  </x:si>
  <x:si>
    <x:t xml:space="preserve">EC2 / S3 data-transfer pricing. 50 GB estimated usage minus the free allowance (input above).</x:t>
  </x:si>
  <x:si>
    <x:t xml:space="preserve">Amazon CloudWatch custom metrics</x:t>
  </x:si>
  <x:si>
    <x:t xml:space="preserve">App and host metrics (memory, disk, queue/latency).</x:t>
  </x:si>
  <x:si>
    <x:t xml:space="preserve">10 custom metrics</x:t>
  </x:si>
  <x:si>
    <x:t xml:space="preserve">metric-month</x:t>
  </x:si>
  <x:si>
    <x:t xml:space="preserve">CloudWatch pricing.</x:t>
  </x:si>
  <x:si>
    <x:t xml:space="preserve">Amazon CloudWatch alarms</x:t>
  </x:si>
  <x:si>
    <x:t xml:space="preserve">Alerts: ALB 5xx, unhealthy target, EC2 CPU, RDS CPU / free storage.</x:t>
  </x:si>
  <x:si>
    <x:t xml:space="preserve">5 standard alarms</x:t>
  </x:si>
  <x:si>
    <x:t xml:space="preserve">alarm-month</x:t>
  </x:si>
  <x:si>
    <x:t xml:space="preserve">AWS Secrets Manager - secrets</x:t>
  </x:si>
  <x:si>
    <x:t xml:space="preserve">Stores DATABASE_URL, JWT_SECRET_KEY, OPENAI_API_KEY and other secrets.</x:t>
  </x:si>
  <x:si>
    <x:t xml:space="preserve">5 secrets</x:t>
  </x:si>
  <x:si>
    <x:t xml:space="preserve">secret-month</x:t>
  </x:si>
  <x:si>
    <x:t xml:space="preserve">Secrets Manager pricing (aws.amazon.com/secrets-manager/pricing).</x:t>
  </x:si>
  <x:si>
    <x:t xml:space="preserve">AWS Secrets Manager - API calls</x:t>
  </x:si>
  <x:si>
    <x:t xml:space="preserve">Reads secrets when containers start.</x:t>
  </x:si>
  <x:si>
    <x:t xml:space="preserve">About 1,000 calls/month</x:t>
  </x:si>
  <x:si>
    <x:t xml:space="preserve">10,000 calls</x:t>
  </x:si>
  <x:si>
    <x:t xml:space="preserve">Secrets Manager pricing. Quantity is in 10,000s.</x:t>
  </x:si>
  <x:si>
    <x:t xml:space="preserve">Amazon Route 53 - hosted zone</x:t>
  </x:si>
  <x:si>
    <x:t xml:space="preserve">DNS for the DriveDeal domain.</x:t>
  </x:si>
  <x:si>
    <x:t xml:space="preserve">1 public hosted zone</x:t>
  </x:si>
  <x:si>
    <x:t xml:space="preserve">zone-month</x:t>
  </x:si>
  <x:si>
    <x:t xml:space="preserve">Route 53 pricing (aws.amazon.com/route53/pricing). Domain registration not included.</x:t>
  </x:si>
  <x:si>
    <x:t xml:space="preserve">Amazon Route 53 - queries</x:t>
  </x:si>
  <x:si>
    <x:t xml:space="preserve">DNS lookups (ALB alias queries are free).</x:t>
  </x:si>
  <x:si>
    <x:t xml:space="preserve">About 100,000 billed queries</x:t>
  </x:si>
  <x:si>
    <x:t xml:space="preserve">million queries</x:t>
  </x:si>
  <x:si>
    <x:t xml:space="preserve">Route 53 pricing. Quantity is in millions.</x:t>
  </x:si>
  <x:si>
    <x:t xml:space="preserve">Amazon Inspector</x:t>
  </x:si>
  <x:si>
    <x:t xml:space="preserve">Vulnerability scanning of the EC2 host and container images.</x:t>
  </x:si>
  <x:si>
    <x:t xml:space="preserve">EC2 scanning, 1 instance</x:t>
  </x:si>
  <x:si>
    <x:t xml:space="preserve">USD budget</x:t>
  </x:si>
  <x:si>
    <x:t xml:space="preserve">Recommended</x:t>
  </x:si>
  <x:si>
    <x:t xml:space="preserve">Budget estimate from the team model, not measured usage.</x:t>
  </x:si>
  <x:si>
    <x:t xml:space="preserve">AWS Certificate Manager (ACM)</x:t>
  </x:si>
  <x:si>
    <x:t xml:space="preserve">Free public TLS certificate for HTTPS on the ALB.</x:t>
  </x:si>
  <x:si>
    <x:t xml:space="preserve">1 public certificate, DNS-validated</x:t>
  </x:si>
  <x:si>
    <x:t xml:space="preserve">certificate</x:t>
  </x:si>
  <x:si>
    <x:t xml:space="preserve">Public ACM certificates used with an ALB are free.</x:t>
  </x:si>
  <x:si>
    <x:t xml:space="preserve">AWS IAM</x:t>
  </x:si>
  <x:si>
    <x:t xml:space="preserve">Roles and permissions: EC2 instance role for S3, Secrets Manager and CloudWatch.</x:t>
  </x:si>
  <x:si>
    <x:t xml:space="preserve">1 instance role + least-privilege policies</x:t>
  </x:si>
  <x:si>
    <x:t xml:space="preserve">-</x:t>
  </x:si>
  <x:si>
    <x:t xml:space="preserve">No charge.</x:t>
  </x:si>
  <x:si>
    <x:t xml:space="preserve">Amazon VPC (subnets, route tables, security groups)</x:t>
  </x:si>
  <x:si>
    <x:t xml:space="preserve">Private network for EC2, ALB and RDS.</x:t>
  </x:si>
  <x:si>
    <x:t xml:space="preserve">2 public subnets (ALB, EC2) + 2 private subnets (RDS) in 2 AZs</x:t>
  </x:si>
  <x:si>
    <x:t xml:space="preserve">No charge for the VPC itself. NAT Gateway not needed because EC2 has a public IPv4.</x:t>
  </x:si>
  <x:si>
    <x:t xml:space="preserve">NAT Gateway</x:t>
  </x:si>
  <x:si>
    <x:t xml:space="preserve">Only if EC2 moves into private subnets.</x:t>
  </x:si>
  <x:si>
    <x:t xml:space="preserve">Not used in this design</x:t>
  </x:si>
  <x:si>
    <x:t xml:space="preserve">gateway-hour</x:t>
  </x:si>
  <x:si>
    <x:t xml:space="preserve">Optional</x:t>
  </x:si>
  <x:si>
    <x:t xml:space="preserve">VPC pricing. Adds about $33/month plus $0.045/GB if enabled.</x:t>
  </x:si>
  <x:si>
    <x:t xml:space="preserve">Amazon ECR</x:t>
  </x:si>
  <x:si>
    <x:t xml:space="preserve">Container image registry (current CI pushes to Docker Hub).</x:t>
  </x:si>
  <x:si>
    <x:t xml:space="preserve">ECR pricing (aws.amazon.com/ecr/pricing). Enter GB if migrating from Docker Hub.</x:t>
  </x:si>
  <x:si>
    <x:t xml:space="preserve">Total AWS infrastructure / month</x:t>
  </x:si>
  <x:si>
    <x:t xml:space="preserve">Annual AWS infrastructure</x:t>
  </x:si>
  <x:si>
    <x:t xml:space="preserve">AWS infrastructure per user / month</x:t>
  </x:si>
  <x:si>
    <x:t xml:space="preserve">Not included: domain registration, AWS Support plan, taxes, Docker Hub paid plans, staging/dev environments, and engineering time.</x:t>
  </x:si>
  <x:si>
    <x:t xml:space="preserve">Quantities marked in blue are planning estimates from the team TCO model; replace them with real CloudWatch / billing data after launch.</x:t>
  </x:si>
  <x:si>
    <x:t xml:space="preserve">Unit prices are us-east-1 planning rates from the team model (reviewed 12-Oct-2026); confirm with the AWS Pricing Calculator before ordering.</x:t>
  </x:si>
  <x:si>
    <x:t xml:space="preserve">OpenAI API cost - Sera AI advisor - 100 monthly users</x:t>
  </x:si>
  <x:si>
    <x:t xml:space="preserve">USD per month - OpenAI API pay-as-you-go - workload and token assumptions from DriveDeal-TCO (1).xlsx (team TCO model, rates reviewed 12-Oct-2026)</x:t>
  </x:si>
  <x:si>
    <x:t xml:space="preserve">Workload inputs</x:t>
  </x:si>
  <x:si>
    <x:t xml:space="preserve">Linked from Infra Cost so both sheets size the same user count.</x:t>
  </x:si>
  <x:si>
    <x:t xml:space="preserve">Car requests per user / month</x:t>
  </x:si>
  <x:si>
    <x:t xml:space="preserve">requests</x:t>
  </x:si>
  <x:si>
    <x:t xml:space="preserve">Team planning target: four published requests per user.</x:t>
  </x:si>
  <x:si>
    <x:t xml:space="preserve">AI messages per car request</x:t>
  </x:si>
  <x:si>
    <x:t xml:space="preserve">messages</x:t>
  </x:si>
  <x:si>
    <x:t xml:space="preserve">Team planning assumption.</x:t>
  </x:si>
  <x:si>
    <x:t xml:space="preserve">Additional AI messages per user / month</x:t>
  </x:si>
  <x:si>
    <x:t xml:space="preserve">Advice or research not tied to a posted request.</x:t>
  </x:si>
  <x:si>
    <x:t xml:space="preserve">Guided / no-model share</x:t>
  </x:si>
  <x:si>
    <x:t xml:space="preserve">% of messages</x:t>
  </x:si>
  <x:si>
    <x:t xml:space="preserve">Guided cards and publish confirmations make no model call.</x:t>
  </x:si>
  <x:si>
    <x:t xml:space="preserve">Small-talk share</x:t>
  </x:si>
  <x:si>
    <x:t xml:space="preserve">Greetings and off-topic replies: one model call.</x:t>
  </x:si>
  <x:si>
    <x:t xml:space="preserve">Catalog advice share of remaining</x:t>
  </x:si>
  <x:si>
    <x:t xml:space="preserve">%</x:t>
  </x:si>
  <x:si>
    <x:t xml:space="preserve">Remaining messages split 50 / 25 / 25.</x:t>
  </x:si>
  <x:si>
    <x:t xml:space="preserve">Direct web research share of remaining</x:t>
  </x:si>
  <x:si>
    <x:t xml:space="preserve">Explicit research skips classifier and orchestrator.</x:t>
  </x:si>
  <x:si>
    <x:t xml:space="preserve">Per-car research share of remaining</x:t>
  </x:si>
  <x:si>
    <x:t xml:space="preserve">Catalog shortlist followed by research per vehicle.</x:t>
  </x:si>
  <x:si>
    <x:t xml:space="preserve">Request-extraction probability</x:t>
  </x:si>
  <x:si>
    <x:t xml:space="preserve">probability</x:t>
  </x:si>
  <x:si>
    <x:t xml:space="preserve">Extra call when required request fields are missing.</x:t>
  </x:si>
  <x:si>
    <x:t xml:space="preserve">Catalog planning probability</x:t>
  </x:si>
  <x:si>
    <x:t xml:space="preserve">Named models skip the planning call.</x:t>
  </x:si>
  <x:si>
    <x:t xml:space="preserve">Vehicles per per-car research message</x:t>
  </x:si>
  <x:si>
    <x:t xml:space="preserve">vehicles</x:t>
  </x:si>
  <x:si>
    <x:t xml:space="preserve">Average; code caps the shortlist at six.</x:t>
  </x:si>
  <x:si>
    <x:t xml:space="preserve">Pages extracted per researched vehicle</x:t>
  </x:si>
  <x:si>
    <x:t xml:space="preserve">pages</x:t>
  </x:si>
  <x:si>
    <x:t xml:space="preserve">First usable page.</x:t>
  </x:si>
  <x:si>
    <x:t xml:space="preserve">Direct research needing page extraction</x:t>
  </x:si>
  <x:si>
    <x:t xml:space="preserve">Hosted search usually answers directly.</x:t>
  </x:si>
  <x:si>
    <x:t xml:space="preserve">Direct research needing composition</x:t>
  </x:si>
  <x:si>
    <x:t xml:space="preserve">Conditional final composition call.</x:t>
  </x:si>
  <x:si>
    <x:t xml:space="preserve">Retry / repeat-work allowance</x:t>
  </x:si>
  <x:si>
    <x:t xml:space="preserve">Budget allowance for retries.</x:t>
  </x:si>
  <x:si>
    <x:t xml:space="preserve">Search content per hosted search call</x:t>
  </x:si>
  <x:si>
    <x:t xml:space="preserve">input tokens</x:t>
  </x:si>
  <x:si>
    <x:t xml:space="preserve">Retrieved web content added to the prompt.</x:t>
  </x:si>
  <x:si>
    <x:t xml:space="preserve">Cached input share</x:t>
  </x:si>
  <x:si>
    <x:t xml:space="preserve">No caching savings assumed until observed.</x:t>
  </x:si>
  <x:si>
    <x:t xml:space="preserve">OpenAI API prices</x:t>
  </x:si>
  <x:si>
    <x:t xml:space="preserve">Price</x:t>
  </x:si>
  <x:si>
    <x:t xml:space="preserve">Model input (GPT-6 Luna)</x:t>
  </x:si>
  <x:si>
    <x:t xml:space="preserve">USD / 1M tokens</x:t>
  </x:si>
  <x:si>
    <x:t xml:space="preserve">OpenAI API pricing, reviewed 12-Oct-2026 (developers.openai.com/api/docs/pricing). Confirm the model you set in OPENAI_MODEL.</x:t>
  </x:si>
  <x:si>
    <x:t xml:space="preserve">Model output incl. reasoning (GPT-6 Luna)</x:t>
  </x:si>
  <x:si>
    <x:t xml:space="preserve">OpenAI API pricing, reviewed 12-Oct-2026.</x:t>
  </x:si>
  <x:si>
    <x:t xml:space="preserve">Cached input (GPT-6 Luna)</x:t>
  </x:si>
  <x:si>
    <x:t xml:space="preserve">Hosted web search tool call</x:t>
  </x:si>
  <x:si>
    <x:t xml:space="preserve">USD / call</x:t>
  </x:si>
  <x:si>
    <x:t xml:space="preserve">OpenAI API pricing ($10 per 1,000 calls). Search content also bills as input tokens.</x:t>
  </x:si>
  <x:si>
    <x:t xml:space="preserve">Budget cap multiplier</x:t>
  </x:si>
  <x:si>
    <x:t xml:space="preserve">x estimate</x:t>
  </x:si>
  <x:si>
    <x:t xml:space="preserve">Headroom for the OpenAI project budget alert/limit (team choice).</x:t>
  </x:si>
  <x:si>
    <x:t xml:space="preserve">Per-call token estimates</x:t>
  </x:si>
  <x:si>
    <x:t xml:space="preserve">Model call</x:t>
  </x:si>
  <x:si>
    <x:t xml:space="preserve">Measured input (ref.)</x:t>
  </x:si>
  <x:si>
    <x:t xml:space="preserve">Measured output (ref.)</x:t>
  </x:si>
  <x:si>
    <x:t xml:space="preserve">Classifier</x:t>
  </x:si>
  <x:si>
    <x:t xml:space="preserve">Team planning estimate (used in the cost).</x:t>
  </x:si>
  <x:si>
    <x:t xml:space="preserve">Orchestrator</x:t>
  </x:si>
  <x:si>
    <x:t xml:space="preserve">Catalog tool plan</x:t>
  </x:si>
  <x:si>
    <x:t xml:space="preserve">Page / spec extraction</x:t>
  </x:si>
  <x:si>
    <x:t xml:space="preserve">Request extraction</x:t>
  </x:si>
  <x:si>
    <x:t xml:space="preserve">n/a</x:t>
  </x:si>
  <x:si>
    <x:t xml:space="preserve">Answer composition</x:t>
  </x:si>
  <x:si>
    <x:t xml:space="preserve">Hosted web search call (excl. search content)</x:t>
  </x:si>
  <x:si>
    <x:t xml:space="preserve">Team estimate; measured total input incl. search content was about 11,300 tokens (see note).</x:t>
  </x:si>
  <x:si>
    <x:t xml:space="preserve">Small talk</x:t>
  </x:si>
  <x:si>
    <x:t xml:space="preserve">Measured columns = averages from Sera production traces (ai_trace_spans, 14 days to 13-Oct-2026), for reference only. Measured output is lower than planned on most calls; measured hosted-search input (~11,300 incl. content) is higher than planned (600 + 4,000).</x:t>
  </x:si>
  <x:si>
    <x:t xml:space="preserve">Calls and tokens per AI message, by route</x:t>
  </x:si>
  <x:si>
    <x:t xml:space="preserve">Message route</x:t>
  </x:si>
  <x:si>
    <x:t xml:space="preserve">Share</x:t>
  </x:si>
  <x:si>
    <x:t xml:space="preserve">Model calls</x:t>
  </x:si>
  <x:si>
    <x:t xml:space="preserve">Search calls</x:t>
  </x:si>
  <x:si>
    <x:t xml:space="preserve">Page extractions</x:t>
  </x:si>
  <x:si>
    <x:t xml:space="preserve">Guided / no model</x:t>
  </x:si>
  <x:si>
    <x:t xml:space="preserve">Catalog advice</x:t>
  </x:si>
  <x:si>
    <x:t xml:space="preserve">Direct web research</x:t>
  </x:si>
  <x:si>
    <x:t xml:space="preserve">Per-car research</x:t>
  </x:si>
  <x:si>
    <x:t xml:space="preserve">Share check (must be 100%)</x:t>
  </x:si>
  <x:si>
    <x:t xml:space="preserve">Blended per message (incl. retry allowance)</x:t>
  </x:si>
  <x:si>
    <x:t xml:space="preserve">Monthly workload and OpenAI API cost</x:t>
  </x:si>
  <x:si>
    <x:t xml:space="preserve">Line</x:t>
  </x:si>
  <x:si>
    <x:t xml:space="preserve">Notes</x:t>
  </x:si>
  <x:si>
    <x:t xml:space="preserve">AI messages per user</x:t>
  </x:si>
  <x:si>
    <x:t xml:space="preserve">Requests x messages + extra.</x:t>
  </x:si>
  <x:si>
    <x:t xml:space="preserve">AI messages</x:t>
  </x:si>
  <x:si>
    <x:t xml:space="preserve">All users.</x:t>
  </x:si>
  <x:si>
    <x:t xml:space="preserve">Messages x blended calls.</x:t>
  </x:si>
  <x:si>
    <x:t xml:space="preserve">Input tokens (incl. search content)</x:t>
  </x:si>
  <x:si>
    <x:t xml:space="preserve">Cached input tokens</x:t>
  </x:si>
  <x:si>
    <x:t xml:space="preserve">Uncached input tokens</x:t>
  </x:si>
  <x:si>
    <x:t xml:space="preserve">Output tokens (incl. reasoning)</x:t>
  </x:si>
  <x:si>
    <x:t xml:space="preserve">Static HTTP fetch + model extraction.</x:t>
  </x:si>
  <x:si>
    <x:t xml:space="preserve">Input token cost</x:t>
  </x:si>
  <x:si>
    <x:t xml:space="preserve">Output token cost</x:t>
  </x:si>
  <x:si>
    <x:t xml:space="preserve">Web search tool fees</x:t>
  </x:si>
  <x:si>
    <x:t xml:space="preserve">Total OpenAI API cost / month</x:t>
  </x:si>
  <x:si>
    <x:t xml:space="preserve">Pay-as-you-go; no fixed fee.</x:t>
  </x:si>
  <x:si>
    <x:t xml:space="preserve">Total OpenAI API cost / year</x:t>
  </x:si>
  <x:si>
    <x:t xml:space="preserve">OpenAI API cost per user / month</x:t>
  </x:si>
  <x:si>
    <x:t xml:space="preserve">OpenAI API cost per AI message</x:t>
  </x:si>
  <x:si>
    <x:t xml:space="preserve">Suggested OpenAI project budget alert / limit</x:t>
  </x:si>
  <x:si>
    <x:t xml:space="preserve">Set in OpenAI project settings (see Setup Guide).</x:t>
  </x:si>
  <x:si>
    <x:t xml:space="preserve">Setup guide - AWS services and OpenAI API key</x:t>
  </x:si>
  <x:si>
    <x:t xml:space="preserve">Step-by-step for the 100-user deployment. Console menu names can change; follow AWS and OpenAI documentation if a screen differs.</x:t>
  </x:si>
  <x:si>
    <x:t xml:space="preserve">Section</x:t>
  </x:si>
  <x:si>
    <x:t xml:space="preserve">Step</x:t>
  </x:si>
  <x:si>
    <x:t xml:space="preserve">What to do</x:t>
  </x:si>
  <x:si>
    <x:t xml:space="preserve">Where (console / file)</x:t>
  </x:si>
  <x:si>
    <x:t xml:space="preserve">1. AWS account</x:t>
  </x:si>
  <x:si>
    <x:t xml:space="preserve">Create the AWS account with a company email, then turn on MFA for the root user and stop using root for daily work.</x:t>
  </x:si>
  <x:si>
    <x:t xml:space="preserve">aws.amazon.com &gt; Create account; IAM &gt; Security credentials</x:t>
  </x:si>
  <x:si>
    <x:t xml:space="preserve">Keep root credentials in the company password manager.</x:t>
  </x:si>
  <x:si>
    <x:t xml:space="preserve">Create admin access for the team (IAM Identity Center users, or IAM users with MFA) and give each person their own login.</x:t>
  </x:si>
  <x:si>
    <x:t xml:space="preserve">IAM Identity Center (or IAM &gt; Users)</x:t>
  </x:si>
  <x:si>
    <x:t xml:space="preserve">Never share one login between people.</x:t>
  </x:si>
  <x:si>
    <x:t xml:space="preserve">Choose one region (this estimate uses us-east-1) and create every resource there.</x:t>
  </x:si>
  <x:si>
    <x:t xml:space="preserve">Region selector, top right of the console</x:t>
  </x:si>
  <x:si>
    <x:t xml:space="preserve">Prices in this workbook are us-east-1.</x:t>
  </x:si>
  <x:si>
    <x:t xml:space="preserve">Create a monthly cost budget at the Summary total plus about 20%, with email alerts at 80% and 100%.</x:t>
  </x:si>
  <x:si>
    <x:t xml:space="preserve">Billing and Cost Management &gt; Budgets</x:t>
  </x:si>
  <x:si>
    <x:t xml:space="preserve">Catches runaway usage early.</x:t>
  </x:si>
  <x:si>
    <x:t xml:space="preserve">2. Network (VPC)</x:t>
  </x:si>
  <x:si>
    <x:t xml:space="preserve">Create a VPC with 2 public subnets (ALB, EC2) and 2 private subnets (RDS) across 2 Availability Zones, plus an internet gateway.</x:t>
  </x:si>
  <x:si>
    <x:t xml:space="preserve">VPC &gt; Create VPC &gt; 'VPC and more'</x:t>
  </x:si>
  <x:si>
    <x:t xml:space="preserve">Set NAT gateways to 'None' - EC2 uses its public IPv4 for outbound traffic.</x:t>
  </x:si>
  <x:si>
    <x:t xml:space="preserve">Create security groups: ALB allows 80/443 from the internet; EC2 allows the app port only from the ALB group (SSH only from your IP, or use Session Manager); RDS allows 5432 only from the EC2 group.</x:t>
  </x:si>
  <x:si>
    <x:t xml:space="preserve">VPC &gt; Security groups</x:t>
  </x:si>
  <x:si>
    <x:t xml:space="preserve">Never open 5432 to the internet.</x:t>
  </x:si>
  <x:si>
    <x:t xml:space="preserve">3. RDS PostgreSQL</x:t>
  </x:si>
  <x:si>
    <x:t xml:space="preserve">Create a PostgreSQL database: db.t4g.small, Single-AZ, 100 GB gp3, in the private subnets, Public access = No, RDS security group.</x:t>
  </x:si>
  <x:si>
    <x:t xml:space="preserve">RDS &gt; Create database &gt; Standard create &gt; PostgreSQL</x:t>
  </x:si>
  <x:si>
    <x:t xml:space="preserve">Matches the Infra Cost lines.</x:t>
  </x:si>
  <x:si>
    <x:t xml:space="preserve">Let RDS manage the master password in Secrets Manager, set automated backups to 7 days and turn on deletion protection.</x:t>
  </x:si>
  <x:si>
    <x:t xml:space="preserve">RDS &gt; Create database &gt; Credentials / Backup</x:t>
  </x:si>
  <x:si>
    <x:t xml:space="preserve">After the app is deployed, create the schema with Alembic: 'uv run alembic upgrade head' from the backend container.</x:t>
  </x:si>
  <x:si>
    <x:t xml:space="preserve">backend/ (alembic)</x:t>
  </x:si>
  <x:si>
    <x:t xml:space="preserve">DATABASE_URL format: postgresql+asyncpg://user:pass@host:5432/db?ssl=require</x:t>
  </x:si>
  <x:si>
    <x:t xml:space="preserve">4. S3 storage</x:t>
  </x:si>
  <x:si>
    <x:t xml:space="preserve">Create one private bucket for quote photos, documents, driving licences and support attachments. Keep Block Public Access on and default encryption SSE-S3.</x:t>
  </x:si>
  <x:si>
    <x:t xml:space="preserve">S3 &gt; Create bucket</x:t>
  </x:si>
  <x:si>
    <x:t xml:space="preserve">The app serves files through short-lived pre-signed URLs.</x:t>
  </x:si>
  <x:si>
    <x:t xml:space="preserve">Optional: turn on versioning and a lifecycle rule to expire old versions after 30-90 days.</x:t>
  </x:si>
  <x:si>
    <x:t xml:space="preserve">S3 &gt; bucket &gt; Properties / Management</x:t>
  </x:si>
  <x:si>
    <x:t xml:space="preserve">Versions count toward stored GB.</x:t>
  </x:si>
  <x:si>
    <x:t xml:space="preserve">5. Secrets Manager</x:t>
  </x:si>
  <x:si>
    <x:t xml:space="preserve">Store app secrets: DATABASE_URL, JWT_SECRET_KEY, OPENAI_API_KEY and any others (5 secrets in this estimate).</x:t>
  </x:si>
  <x:si>
    <x:t xml:space="preserve">Secrets Manager &gt; Store a new secret &gt; Other type of secret</x:t>
  </x:si>
  <x:si>
    <x:t xml:space="preserve">Name them like drivedeal/prod/OPENAI_API_KEY.</x:t>
  </x:si>
  <x:si>
    <x:t xml:space="preserve">6. IAM role for EC2</x:t>
  </x:si>
  <x:si>
    <x:t xml:space="preserve">Create an EC2 instance role allowing: read/write on the DriveDeal bucket only, read on drivedeal/prod/* secrets only, CloudWatch agent, and SSM Session Manager.</x:t>
  </x:si>
  <x:si>
    <x:t xml:space="preserve">IAM &gt; Roles &gt; Create role &gt; EC2</x:t>
  </x:si>
  <x:si>
    <x:t xml:space="preserve">With a role, leave AWS_ACCESS_KEY_ID / AWS_SECRET_ACCESS_KEY empty in the app config.</x:t>
  </x:si>
  <x:si>
    <x:t xml:space="preserve">7. EC2 host</x:t>
  </x:si>
  <x:si>
    <x:t xml:space="preserve">Launch a t3a.medium (Amazon Linux 2023) in a public subnet with the EC2 security group, the instance role and a public IPv4.</x:t>
  </x:si>
  <x:si>
    <x:t xml:space="preserve">EC2 &gt; Launch instance</x:t>
  </x:si>
  <x:si>
    <x:t xml:space="preserve">One host runs both containers (Infra Cost assumption).</x:t>
  </x:si>
  <x:si>
    <x:t xml:space="preserve">Install Docker and Docker Compose, pull the backend and frontend images, and start them with the repository docker-compose.yml.</x:t>
  </x:si>
  <x:si>
    <x:t xml:space="preserve">EC2 &gt; Connect (Session Manager); docker-compose.yml</x:t>
  </x:si>
  <x:si>
    <x:t xml:space="preserve">Inject secrets as environment variables at start-up from Secrets Manager.</x:t>
  </x:si>
  <x:si>
    <x:t xml:space="preserve">Set production env vars: APP_ENV=production, STORAGE_DRIVER=s3, S3_BUCKET, AWS_REGION, AI_PROVIDER=openai, OPENAI_API_KEY, OPENAI_MODEL, CORS_ORIGINS=https://your-domain, AI_ENABLE_WEB_SEARCH=true.</x:t>
  </x:si>
  <x:si>
    <x:t xml:space="preserve">backend/.env.example lists every variable</x:t>
  </x:si>
  <x:si>
    <x:t xml:space="preserve">Production start-up fails unless STORAGE_DRIVER=s3.</x:t>
  </x:si>
  <x:si>
    <x:t xml:space="preserve">8. TLS certificate</x:t>
  </x:si>
  <x:si>
    <x:t xml:space="preserve">Request a public certificate for your domain and validate it through DNS (one click if the domain is in Route 53).</x:t>
  </x:si>
  <x:si>
    <x:t xml:space="preserve">Certificate Manager &gt; Request certificate</x:t>
  </x:si>
  <x:si>
    <x:t xml:space="preserve">Free when used with the ALB.</x:t>
  </x:si>
  <x:si>
    <x:t xml:space="preserve">9. Load balancer</x:t>
  </x:si>
  <x:si>
    <x:t xml:space="preserve">Create an internet-facing Application Load Balancer in the 2 public subnets with the ALB security group.</x:t>
  </x:si>
  <x:si>
    <x:t xml:space="preserve">EC2 &gt; Load balancers &gt; Create &gt; Application Load Balancer</x:t>
  </x:si>
  <x:si>
    <x:t xml:space="preserve">Create a target group pointing at the EC2 host. Health check path: /api/v1/health for the API (or / for the frontend if the ALB fronts it).</x:t>
  </x:si>
  <x:si>
    <x:t xml:space="preserve">EC2 &gt; Target groups</x:t>
  </x:si>
  <x:si>
    <x:t xml:space="preserve">Use path rules if the API and frontend use different ports.</x:t>
  </x:si>
  <x:si>
    <x:t xml:space="preserve">Listeners: HTTP 80 redirects to HTTPS 443; HTTPS 443 uses the ACM certificate and forwards to the target group.</x:t>
  </x:si>
  <x:si>
    <x:t xml:space="preserve">Load balancer &gt; Listeners</x:t>
  </x:si>
  <x:si>
    <x:t xml:space="preserve">Raise the ALB idle timeout to 300 seconds so Sera's streaming (SSE) replies and WebSocket chat are not cut off.</x:t>
  </x:si>
  <x:si>
    <x:t xml:space="preserve">Load balancer &gt; Attributes &gt; Idle timeout</x:t>
  </x:si>
  <x:si>
    <x:t xml:space="preserve">The default 60 seconds can cut long research answers.</x:t>
  </x:si>
  <x:si>
    <x:t xml:space="preserve">10. DNS</x:t>
  </x:si>
  <x:si>
    <x:t xml:space="preserve">Create a public hosted zone for the domain and an A record (Alias) pointing to the ALB.</x:t>
  </x:si>
  <x:si>
    <x:t xml:space="preserve">Route 53 &gt; Hosted zones</x:t>
  </x:si>
  <x:si>
    <x:t xml:space="preserve">Alias queries to an ALB are free.</x:t>
  </x:si>
  <x:si>
    <x:t xml:space="preserve">11. Monitoring</x:t>
  </x:si>
  <x:si>
    <x:t xml:space="preserve">Create 5 alarms: ALB 5xx count, unhealthy target count, EC2 CPU &gt; 80%, RDS CPU &gt; 80%, RDS free storage &lt; 10 GB. Send them to an SNS email topic.</x:t>
  </x:si>
  <x:si>
    <x:t xml:space="preserve">CloudWatch &gt; Alarms &gt; Create alarm</x:t>
  </x:si>
  <x:si>
    <x:t xml:space="preserve">Matches the 5 alarms in Infra Cost.</x:t>
  </x:si>
  <x:si>
    <x:t xml:space="preserve">12. Security scanning</x:t>
  </x:si>
  <x:si>
    <x:t xml:space="preserve">Turn on Amazon Inspector for EC2 scanning.</x:t>
  </x:si>
  <x:si>
    <x:t xml:space="preserve">Amazon Inspector &gt; Get started</x:t>
  </x:si>
  <x:si>
    <x:t xml:space="preserve">About $3/month at this size (estimate).</x:t>
  </x:si>
  <x:si>
    <x:t xml:space="preserve">13. OpenAI account</x:t>
  </x:si>
  <x:si>
    <x:t xml:space="preserve">Create an OpenAI API platform account with a company email. This is separate from a ChatGPT subscription.</x:t>
  </x:si>
  <x:si>
    <x:t xml:space="preserve">platform.openai.com &gt; Sign up</x:t>
  </x:si>
  <x:si>
    <x:t xml:space="preserve">API usage is billed separately from ChatGPT plans.</x:t>
  </x:si>
  <x:si>
    <x:t xml:space="preserve">Set the organization name and invite teammates with the right roles (Owner only for admins; Reader / member for others).</x:t>
  </x:si>
  <x:si>
    <x:t xml:space="preserve">Settings &gt; Organization &gt; General / Members</x:t>
  </x:si>
  <x:si>
    <x:t xml:space="preserve">Each person gets their own login.</x:t>
  </x:si>
  <x:si>
    <x:t xml:space="preserve">Create two projects: 'DriveDeal Production' and 'DriveDeal Development', so keys, usage and limits are separated.</x:t>
  </x:si>
  <x:si>
    <x:t xml:space="preserve">Settings &gt; Projects &gt; Create project</x:t>
  </x:si>
  <x:si>
    <x:t xml:space="preserve">API keys belong to a project.</x:t>
  </x:si>
  <x:si>
    <x:t xml:space="preserve">14. OpenAI billing</x:t>
  </x:si>
  <x:si>
    <x:t xml:space="preserve">Add a payment method and buy prepaid credits (start with about 2x the monthly OpenAI cost on the AI Cost sheet). Optionally enable auto-recharge.</x:t>
  </x:si>
  <x:si>
    <x:t xml:space="preserve">Settings &gt; Billing</x:t>
  </x:si>
  <x:si>
    <x:t xml:space="preserve">Usage stops if credits run out and auto-recharge is off.</x:t>
  </x:si>
  <x:si>
    <x:t xml:space="preserve">Set a monthly budget and alert on the Production project at the 'Suggested OpenAI project budget' from the AI Cost sheet.</x:t>
  </x:si>
  <x:si>
    <x:t xml:space="preserve">Settings &gt; Projects &gt; [project] &gt; Limits / Budgets</x:t>
  </x:si>
  <x:si>
    <x:t xml:space="preserve">Guards against unexpected spend.</x:t>
  </x:si>
  <x:si>
    <x:t xml:space="preserve">Check the rate limits (requests and tokens per minute) for your model; limits rise automatically with your usage tier.</x:t>
  </x:si>
  <x:si>
    <x:t xml:space="preserve">Settings &gt; Limits</x:t>
  </x:si>
  <x:si>
    <x:t xml:space="preserve">Enable only the models the app uses.</x:t>
  </x:si>
  <x:si>
    <x:t xml:space="preserve">15. Create the API key</x:t>
  </x:si>
  <x:si>
    <x:t xml:space="preserve">In the Production project, create a secret key owned by a service account (not a personal user) named e.g. drivedeal-prod-backend.</x:t>
  </x:si>
  <x:si>
    <x:t xml:space="preserve">Dashboard &gt; API keys &gt; Create new secret key</x:t>
  </x:si>
  <x:si>
    <x:t xml:space="preserve">Service-account keys keep working when a person leaves.</x:t>
  </x:si>
  <x:si>
    <x:t xml:space="preserve">Restrict permissions to what the backend needs (model requests / Responses API) instead of 'All'.</x:t>
  </x:si>
  <x:si>
    <x:t xml:space="preserve">Create secret key &gt; Permissions: Restricted</x:t>
  </x:si>
  <x:si>
    <x:t xml:space="preserve">Least privilege limits damage if the key leaks.</x:t>
  </x:si>
  <x:si>
    <x:t xml:space="preserve">Copy the key immediately - OpenAI shows it only once - and paste it straight into AWS Secrets Manager (drivedeal/prod/OPENAI_API_KEY).</x:t>
  </x:si>
  <x:si>
    <x:t xml:space="preserve">Secrets Manager</x:t>
  </x:si>
  <x:si>
    <x:t xml:space="preserve">Do not paste it into chat, email, tickets or code.</x:t>
  </x:si>
  <x:si>
    <x:t xml:space="preserve">For local development, each developer creates their own key in the Development project and puts it in backend/.env (git-ignored).</x:t>
  </x:si>
  <x:si>
    <x:t xml:space="preserve">backend/.env</x:t>
  </x:si>
  <x:si>
    <x:t xml:space="preserve">The repository's .gitleaks.toml helps catch committed secrets.</x:t>
  </x:si>
  <x:si>
    <x:t xml:space="preserve">Point the app at the key: OPENAI_API_KEY from the secret, AI_PROVIDER=openai, OPENAI_MODEL = the priced model. The backend uses OPENAI_API_KEY first, before any Codex credential.</x:t>
  </x:si>
  <x:si>
    <x:t xml:space="preserve">EC2 env / backend/.env</x:t>
  </x:si>
  <x:si>
    <x:t xml:space="preserve">Restart the containers after changing it.</x:t>
  </x:si>
  <x:si>
    <x:t xml:space="preserve">Test: send one Sera message and check the backend log line agent_llm_call shows provider=openai and status=success.</x:t>
  </x:si>
  <x:si>
    <x:t xml:space="preserve">CloudWatch Logs / docker logs</x:t>
  </x:si>
  <x:si>
    <x:t xml:space="preserve">16. Share the key safely</x:t>
  </x:si>
  <x:si>
    <x:t xml:space="preserve">Do not share the raw key with people. Invite them to the OpenAI project so they create their own keys.</x:t>
  </x:si>
  <x:si>
    <x:t xml:space="preserve">OpenAI Settings &gt; Projects &gt; Members</x:t>
  </x:si>
  <x:si>
    <x:t xml:space="preserve">Every key is then traceable to one owner.</x:t>
  </x:si>
  <x:si>
    <x:t xml:space="preserve">Share the production key only with systems: grant read access to the Secrets Manager secret through IAM (EC2 role, CI/CD role).</x:t>
  </x:si>
  <x:si>
    <x:t xml:space="preserve">IAM policy on drivedeal/prod/OPENAI_API_KEY</x:t>
  </x:si>
  <x:si>
    <x:t xml:space="preserve">No human ever needs to see the production key.</x:t>
  </x:si>
  <x:si>
    <x:t xml:space="preserve">If a person must hand over a key, use the company password manager's shared vault or a one-time secret link - never chat or email.</x:t>
  </x:si>
  <x:si>
    <x:t xml:space="preserve">Company password manager</x:t>
  </x:si>
  <x:si>
    <x:t xml:space="preserve">Rotate keys: create a new key, update the secret, restart the app, then revoke the old key. Do this every 90 days, when someone leaves, or immediately if a key leaks.</x:t>
  </x:si>
  <x:si>
    <x:t xml:space="preserve">Dashboard &gt; API keys; Secrets Manager</x:t>
  </x:si>
  <x:si>
    <x:t xml:space="preserve">Revoking a key takes effect immediately.</x:t>
  </x:si>
  <x:si>
    <x:t xml:space="preserve">17. Monitor OpenAI spend</x:t>
  </x:si>
  <x:si>
    <x:t xml:space="preserve">Review usage per project weekly for the first month and compare with the AI Cost sheet; update the token assumptions with real numbers.</x:t>
  </x:si>
  <x:si>
    <x:t xml:space="preserve">Settings &gt; Usage</x:t>
  </x:si>
  <x:si>
    <x:t xml:space="preserve">Web search tool calls are billed per call in addition to tokens.</x:t>
  </x:si>
  <x:si>
    <x:t xml:space="preserve">Sources</x:t>
  </x:si>
  <x:si>
    <x:t xml:space="preserve">AWS pricing pages: EC2, ELB, VPC, RDS PostgreSQL, S3, CloudWatch, Secrets Manager, Route 53, ECR (aws.amazon.com/&lt;service&gt;/pricing), reviewed 12-Oct-2026 in the team TCO model.</x:t>
  </x:si>
  <x:si>
    <x:t xml:space="preserve">OpenAI API pricing: developers.openai.com/api/docs/pricing, reviewed 12-Oct-2026 in the team TCO model.</x:t>
  </x:si>
  <x:si>
    <x:t xml:space="preserve">Application settings: backend/.env.example, docker-compose.yml, backend/src/agents/llm.py (credential order) in this repository.</x:t>
  </x:si>
</x:sst>
</file>

<file path=xl/styles.xml><?xml version="1.0" encoding="utf-8"?>
<x:styleSheet xmlns:x="http://schemas.openxmlformats.org/spreadsheetml/2006/main">
  <x:numFmts count="6">
    <x:numFmt numFmtId="164" formatCode="#,##0;\(#,##0\);&quot;-&quot;"/>
    <x:numFmt numFmtId="165" formatCode="\$#,##0.0000;\(\$#,##0.0000\);&quot;-&quot;"/>
    <x:numFmt numFmtId="166" formatCode="#,##0.00;\(#,##0.00\);&quot;-&quot;"/>
    <x:numFmt numFmtId="167" formatCode="\$#,##0.00;\(\$#,##0.00\);&quot;-&quot;"/>
    <x:numFmt numFmtId="168" formatCode="0.0%;\(0.0%\);&quot;-&quot;"/>
    <x:numFmt numFmtId="169" formatCode="0.0&quot;x&quot;"/>
  </x:numFmts>
  <x:fonts count="16">
    <x:font>
      <x:sz val="11"/>
      <x:color theme="1"/>
      <x:name val="Calibri"/>
      <x:family val="2"/>
      <x:scheme val="minor"/>
    </x:font>
    <x:font>
      <x:b/>
      <x:sz val="14"/>
      <x:color rgb="FF1F3864"/>
      <x:name val="Arial"/>
    </x:font>
    <x:font>
      <x:i/>
      <x:sz val="9"/>
      <x:color rgb="FF595959"/>
      <x:name val="Arial"/>
    </x:font>
    <x:font>
      <x:sz val="10"/>
      <x:color rgb="FF000000"/>
      <x:name val="Arial"/>
    </x:font>
    <x:font>
      <x:b/>
      <x:sz val="10"/>
      <x:color rgb="FF000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9"/>
      <x:color rgb="FF000000"/>
      <x:name val="Arial"/>
    </x:font>
    <x:font>
      <x:b/>
      <x:sz val="9"/>
      <x:name val="Arial"/>
    </x:font>
    <x:font>
      <x:sz val="9"/>
      <x:color rgb="FF0000FF"/>
      <x:name val="Arial"/>
    </x:font>
    <x:font>
      <x:sz val="9"/>
      <x:color rgb="FF008000"/>
      <x:name val="Arial"/>
    </x:font>
    <x:font>
      <x:sz val="10"/>
      <x:color rgb="FF008000"/>
      <x:name val="Arial"/>
    </x:font>
    <x:font>
      <x:sz val="10"/>
      <x:color rgb="FF595959"/>
      <x:name val="Arial"/>
    </x:font>
    <x:font>
      <x:sz val="10"/>
      <x:name val="Arial"/>
    </x:font>
    <x:font>
      <x:b/>
      <x:sz val="11"/>
      <x:name val="Arial"/>
    </x:font>
    <x:font>
      <x:sz val="9"/>
      <x:color rgb="FF59595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1F2"/>
      </x:patternFill>
    </x:fill>
    <x:fill>
      <x:patternFill patternType="solid">
        <x:fgColor rgb="FF1F3864"/>
      </x:patternFill>
    </x:fill>
    <x:fill>
      <x:patternFill patternType="solid">
        <x:fgColor rgb="FFFFFF00"/>
      </x:patternFill>
    </x:fill>
    <x:fill>
      <x:patternFill patternType="solid">
        <x:fgColor rgb="FFE2EFDA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Font="1"/>
    <x:xf numFmtId="0" fontId="2" fillId="0" borderId="0" xfId="0" applyFont="1"/>
    <x:xf numFmtId="0" fontId="4" fillId="2" borderId="1" xfId="0" applyFont="1" applyFill="1" applyBorder="1" applyAlignment="1">
      <x:alignment vertical="top"/>
    </x:xf>
    <x:xf numFmtId="0" fontId="3" fillId="2" borderId="1" xfId="0" applyFont="1" applyFill="1" applyBorder="1" applyAlignment="1">
      <x:alignment vertical="top"/>
    </x:xf>
    <x:xf numFmtId="0" fontId="5" fillId="3" borderId="1" xfId="0" applyFont="1" applyFill="1" applyBorder="1" applyAlignment="1">
      <x:alignment vertical="top" wrapText="1"/>
    </x:xf>
    <x:xf numFmtId="0" fontId="3" fillId="0" borderId="1" xfId="0" applyFont="1" applyBorder="1" applyAlignment="1">
      <x:alignment vertical="top"/>
    </x:xf>
    <x:xf numFmtId="164" fontId="11" fillId="0" borderId="1" xfId="0" applyNumberFormat="1" applyFont="1" applyBorder="1" applyAlignment="1">
      <x:alignment vertical="top"/>
    </x:xf>
    <x:xf numFmtId="0" fontId="7" fillId="0" borderId="1" xfId="0" applyFont="1" applyBorder="1" applyAlignment="1">
      <x:alignment vertical="top"/>
    </x:xf>
    <x:xf numFmtId="167" fontId="11" fillId="0" borderId="1" xfId="0" applyNumberFormat="1" applyFont="1" applyBorder="1" applyAlignment="1">
      <x:alignment vertical="top"/>
    </x:xf>
    <x:xf numFmtId="167" fontId="3" fillId="0" borderId="1" xfId="0" applyNumberFormat="1" applyFont="1" applyBorder="1" applyAlignment="1">
      <x:alignment vertical="top"/>
    </x:xf>
    <x:xf numFmtId="168" fontId="3" fillId="0" borderId="1" xfId="0" applyNumberFormat="1" applyFont="1" applyBorder="1" applyAlignment="1">
      <x:alignment vertical="top"/>
    </x:xf>
    <x:xf numFmtId="0" fontId="4" fillId="5" borderId="1" xfId="0" applyFont="1" applyFill="1" applyBorder="1" applyAlignment="1">
      <x:alignment vertical="top"/>
    </x:xf>
    <x:xf numFmtId="167" fontId="4" fillId="5" borderId="1" xfId="0" applyNumberFormat="1" applyFont="1" applyFill="1" applyBorder="1" applyAlignment="1">
      <x:alignment vertical="top"/>
    </x:xf>
    <x:xf numFmtId="168" fontId="4" fillId="5" borderId="1" xfId="0" applyNumberFormat="1" applyFont="1" applyFill="1" applyBorder="1" applyAlignment="1">
      <x:alignment vertical="top"/>
    </x:xf>
    <x:xf numFmtId="0" fontId="8" fillId="0" borderId="0" xfId="0" applyFont="1"/>
    <x:xf numFmtId="0" fontId="9" fillId="4" borderId="1" xfId="0" applyFont="1" applyFill="1" applyBorder="1" applyAlignment="1">
      <x:alignment vertical="top"/>
    </x:xf>
    <x:xf numFmtId="0" fontId="7" fillId="0" borderId="0" xfId="0" applyFont="1" applyAlignment="1">
      <x:alignment vertical="top"/>
    </x:xf>
    <x:xf numFmtId="0" fontId="10" fillId="0" borderId="1" xfId="0" applyFont="1" applyBorder="1" applyAlignment="1">
      <x:alignment vertical="top"/>
    </x:xf>
    <x:xf numFmtId="164" fontId="6" fillId="4" borderId="1" xfId="0" applyNumberFormat="1" applyFont="1" applyFill="1" applyBorder="1" applyAlignment="1">
      <x:alignment vertical="top"/>
    </x:xf>
    <x:xf numFmtId="0" fontId="3" fillId="0" borderId="1" xfId="0" applyFont="1" applyBorder="1" applyAlignment="1">
      <x:alignment vertical="top" wrapText="1"/>
    </x:xf>
    <x:xf numFmtId="165" fontId="6" fillId="0" borderId="1" xfId="0" applyNumberFormat="1" applyFont="1" applyBorder="1" applyAlignment="1">
      <x:alignment vertical="top"/>
    </x:xf>
    <x:xf numFmtId="166" fontId="3" fillId="0" borderId="1" xfId="0" applyNumberFormat="1" applyFont="1" applyBorder="1" applyAlignment="1">
      <x:alignment vertical="top"/>
    </x:xf>
    <x:xf numFmtId="0" fontId="7" fillId="0" borderId="1" xfId="0" applyFont="1" applyBorder="1" applyAlignment="1">
      <x:alignment vertical="top" wrapText="1"/>
    </x:xf>
    <x:xf numFmtId="166" fontId="6" fillId="0" borderId="1" xfId="0" applyNumberFormat="1" applyFont="1" applyBorder="1" applyAlignment="1">
      <x:alignment vertical="top"/>
    </x:xf>
    <x:xf numFmtId="0" fontId="3" fillId="5" borderId="1" xfId="0" applyFont="1" applyFill="1" applyBorder="1" applyAlignment="1">
      <x:alignment vertical="top"/>
    </x:xf>
    <x:xf numFmtId="0" fontId="4" fillId="0" borderId="1" xfId="0" applyFont="1" applyBorder="1" applyAlignment="1">
      <x:alignment vertical="top"/>
    </x:xf>
    <x:xf numFmtId="167" fontId="4" fillId="0" borderId="1" xfId="0" applyNumberFormat="1" applyFont="1" applyBorder="1" applyAlignment="1">
      <x:alignment vertical="top"/>
    </x:xf>
    <x:xf numFmtId="168" fontId="6" fillId="4" borderId="1" xfId="0" applyNumberFormat="1" applyFont="1" applyFill="1" applyBorder="1" applyAlignment="1">
      <x:alignment vertical="top"/>
    </x:xf>
    <x:xf numFmtId="167" fontId="6" fillId="4" borderId="1" xfId="0" applyNumberFormat="1" applyFont="1" applyFill="1" applyBorder="1" applyAlignment="1">
      <x:alignment vertical="top"/>
    </x:xf>
    <x:xf numFmtId="169" fontId="6" fillId="4" borderId="1" xfId="0" applyNumberFormat="1" applyFont="1" applyFill="1" applyBorder="1" applyAlignment="1">
      <x:alignment vertical="top"/>
    </x:xf>
    <x:xf numFmtId="164" fontId="12" fillId="0" borderId="1" xfId="0" applyNumberFormat="1" applyFont="1" applyBorder="1" applyAlignment="1">
      <x:alignment vertical="top"/>
    </x:xf>
    <x:xf numFmtId="168" fontId="4" fillId="0" borderId="1" xfId="0" applyNumberFormat="1" applyFont="1" applyBorder="1" applyAlignment="1">
      <x:alignment vertical="top"/>
    </x:xf>
    <x:xf numFmtId="168" fontId="3" fillId="5" borderId="1" xfId="0" applyNumberFormat="1" applyFont="1" applyFill="1" applyBorder="1" applyAlignment="1">
      <x:alignment vertical="top"/>
    </x:xf>
    <x:xf numFmtId="166" fontId="4" fillId="5" borderId="1" xfId="0" applyNumberFormat="1" applyFont="1" applyFill="1" applyBorder="1" applyAlignment="1">
      <x:alignment vertical="top"/>
    </x:xf>
    <x:xf numFmtId="164" fontId="3" fillId="0" borderId="1" xfId="0" applyNumberFormat="1" applyFont="1" applyBorder="1" applyAlignment="1">
      <x:alignment vertical="top"/>
    </x:xf>
    <x:xf numFmtId="165" fontId="3" fillId="0" borderId="1" xfId="0" applyNumberFormat="1" applyFont="1" applyBorder="1" applyAlignment="1">
      <x:alignment vertical="top"/>
    </x:xf>
    <x:xf numFmtId="0" fontId="3" fillId="0" borderId="1" xfId="0" applyFont="1" applyBorder="1" applyAlignment="1">
      <x:alignment horizontal="center" vertical="top"/>
    </x:xf>
    <x:xf numFmtId="0" fontId="14" fillId="0" borderId="0" xfId="0" applyFont="1"/>
    <x:xf numFmtId="0" fontId="15" fillId="0" borderId="0" xfId="0" applyFont="1"/>
    <x:xf numFmtId="0" fontId="13" fillId="0" borderId="0" xfId="0" applyFont="1" applyAlignment="1"/>
    <x:xf numFmtId="0" fontId="0" fillId="0" borderId="0" xfId="0" applyAlignment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ae6eae49f747f6" /><Relationship Type="http://schemas.openxmlformats.org/officeDocument/2006/relationships/theme" Target="/xl/theme/theme1.xml" Id="Rf5d855a38fbe4909" /><Relationship Type="http://schemas.openxmlformats.org/officeDocument/2006/relationships/sharedStrings" Target="/xl/sharedStrings.xml" Id="R385565a795a04f69" /><Relationship Type="http://schemas.openxmlformats.org/officeDocument/2006/relationships/worksheet" Target="/xl/worksheets/sheet1.xml" Id="R7353ba96601f4fe6" /><Relationship Type="http://schemas.openxmlformats.org/officeDocument/2006/relationships/worksheet" Target="/xl/worksheets/sheet2.xml" Id="Ra7e3c3611e3d46cb" /><Relationship Type="http://schemas.openxmlformats.org/officeDocument/2006/relationships/worksheet" Target="/xl/worksheets/sheet3.xml" Id="R1289d5c373534cac" /><Relationship Type="http://schemas.openxmlformats.org/officeDocument/2006/relationships/worksheet" Target="/xl/worksheets/sheet4.xml" Id="R560901074efe42ad" /><Relationship Type="http://schemas.microsoft.com/office/2017/10/relationships/person" Target="/xl/persons/person.xml" Id="Rff6d7f910db94aa3" /></Relationships>
</file>

<file path=xl/persons/person.xml><?xml version="1.0" encoding="utf-8"?>
<xltc:personList xmlns:xltc="http://schemas.microsoft.com/office/spreadsheetml/2018/threadedcomments">
  <xltc:person displayName="TCO" id="{FE2952D3-47BF-4EC6-C094-1319293D4F94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a767a3165d04499a" /><Relationship Type="http://schemas.openxmlformats.org/officeDocument/2006/relationships/vmlDrawing" Target="/xl/drawings/vmldrawing.vml" Id="R15486ac5780142e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customWidth="1"/>
    <x:col min="2" max="2" width="18" customWidth="1"/>
    <x:col min="3" max="3" width="20.140625" customWidth="1"/>
    <x:col min="4" max="4" width="22" customWidth="1"/>
    <x:col min="5" max="5" width="16" customWidth="1"/>
  </x:cols>
  <x:sheetData>
    <x:row r="1" ht="18">
      <x:c r="A1" s="1" t="s">
        <x:v>0</x:v>
      </x:c>
    </x:row>
    <x:row r="2">
      <x:c r="A2" s="2" t="s">
        <x:v>1</x:v>
      </x:c>
    </x:row>
    <x:row r="4">
      <x:c r="A4" s="3" t="s">
        <x:v>2</x:v>
      </x:c>
      <x:c r="B4" s="4"/>
      <x:c r="C4" s="4"/>
    </x:row>
    <x:row r="5">
      <x:c r="A5" s="5" t="s">
        <x:v>3</x:v>
      </x:c>
      <x:c r="B5" s="5" t="s">
        <x:v>4</x:v>
      </x:c>
      <x:c r="C5" s="5" t="s">
        <x:v>5</x:v>
      </x:c>
    </x:row>
    <x:row r="6">
      <x:c r="A6" s="6" t="s">
        <x:v>6</x:v>
      </x:c>
      <x:c r="B6" s="7" t="n">
        <x:f>'AI Cost'!B6</x:f>
        <x:v>100</x:v>
      </x:c>
      <x:c r="C6" s="8" t="s">
        <x:v>7</x:v>
      </x:c>
    </x:row>
    <x:row r="7">
      <x:c r="A7" s="6" t="s">
        <x:v>8</x:v>
      </x:c>
      <x:c r="B7" s="7" t="n">
        <x:f>'AI Cost'!B58</x:f>
        <x:v>800</x:v>
      </x:c>
      <x:c r="C7" s="8" t="s">
        <x:v>9</x:v>
      </x:c>
    </x:row>
    <x:row r="8">
      <x:c r="A8" s="6" t="s">
        <x:v>10</x:v>
      </x:c>
      <x:c r="B8" s="7" t="n">
        <x:f>'AI Cost'!B59</x:f>
        <x:v>2744.7000000000007</x:v>
      </x:c>
      <x:c r="C8" s="8" t="s">
        <x:v>9</x:v>
      </x:c>
    </x:row>
    <x:row r="9">
      <x:c r="A9" s="6" t="s">
        <x:v>11</x:v>
      </x:c>
      <x:c r="B9" s="7" t="n">
        <x:f>'AI Cost'!B60</x:f>
        <x:v>10631733.000000002</x:v>
      </x:c>
      <x:c r="C9" s="8" t="s">
        <x:v>9</x:v>
      </x:c>
    </x:row>
    <x:row r="10">
      <x:c r="A10" s="6" t="s">
        <x:v>12</x:v>
      </x:c>
      <x:c r="B10" s="7" t="n">
        <x:f>'AI Cost'!B63</x:f>
        <x:v>2652510.0000000005</x:v>
      </x:c>
      <x:c r="C10" s="8" t="s">
        <x:v>9</x:v>
      </x:c>
    </x:row>
    <x:row r="11">
      <x:c r="A11" s="6" t="s">
        <x:v>13</x:v>
      </x:c>
      <x:c r="B11" s="7" t="n">
        <x:f>'AI Cost'!B64</x:f>
        <x:v>588.0000000000001</x:v>
      </x:c>
      <x:c r="C11" s="8" t="s">
        <x:v>9</x:v>
      </x:c>
    </x:row>
    <x:row r="13">
      <x:c r="A13" s="3" t="s">
        <x:v>14</x:v>
      </x:c>
      <x:c r="B13" s="4"/>
      <x:c r="C13" s="4"/>
      <x:c r="D13" s="4"/>
      <x:c r="E13" s="4"/>
    </x:row>
    <x:row r="14">
      <x:c r="A14" s="5" t="s">
        <x:v>15</x:v>
      </x:c>
      <x:c r="B14" s="5" t="s">
        <x:v>16</x:v>
      </x:c>
      <x:c r="C14" s="5" t="s">
        <x:v>17</x:v>
      </x:c>
      <x:c r="D14" s="5" t="s">
        <x:v>18</x:v>
      </x:c>
      <x:c r="E14" s="5" t="s">
        <x:v>19</x:v>
      </x:c>
    </x:row>
    <x:row r="15">
      <x:c r="A15" s="6" t="s">
        <x:v>20</x:v>
      </x:c>
      <x:c r="B15" s="9" t="n">
        <x:f>'Infra Cost'!H39</x:f>
        <x:v>101.7725</x:v>
      </x:c>
      <x:c r="C15" s="10" t="n">
        <x:f>B15*12</x:f>
        <x:v>1221.27</x:v>
      </x:c>
      <x:c r="D15" s="10" t="n">
        <x:f>IF($B$6&gt;0,B15/$B$6,0)</x:f>
        <x:v>1.017725</x:v>
      </x:c>
      <x:c r="E15" s="11" t="n">
        <x:f>IF($B$17&gt;0,B15/$B$17,0)</x:f>
        <x:v>0.9248520229720475</x:v>
      </x:c>
    </x:row>
    <x:row r="16">
      <x:c r="A16" s="6" t="s">
        <x:v>21</x:v>
      </x:c>
      <x:c r="B16" s="9" t="n">
        <x:f>'AI Cost'!B69</x:f>
        <x:v>8.269428300000001</x:v>
      </x:c>
      <x:c r="C16" s="10" t="n">
        <x:f>B16*12</x:f>
        <x:v>99.23313960000002</x:v>
      </x:c>
      <x:c r="D16" s="10" t="n">
        <x:f>IF($B$6&gt;0,B16/$B$6,0)</x:f>
        <x:v>0.08269428300000001</x:v>
      </x:c>
      <x:c r="E16" s="11" t="n">
        <x:f>IF($B$17&gt;0,B16/$B$17,0)</x:f>
        <x:v>0.07514797702795255</x:v>
      </x:c>
    </x:row>
    <x:row r="17">
      <x:c r="A17" s="12" t="s">
        <x:v>22</x:v>
      </x:c>
      <x:c r="B17" s="13" t="n">
        <x:f>SUM(B15:B16)</x:f>
        <x:v>110.0419283</x:v>
      </x:c>
      <x:c r="C17" s="13" t="n">
        <x:f>B17*12</x:f>
        <x:v>1320.5031396</x:v>
      </x:c>
      <x:c r="D17" s="13" t="n">
        <x:f>IF($B$6&gt;0,B17/$B$6,0)</x:f>
        <x:v>1.100419283</x:v>
      </x:c>
      <x:c r="E17" s="14" t="n">
        <x:f>SUM(E15:E16)</x:f>
        <x:v>1</x:v>
      </x:c>
    </x:row>
    <x:row r="19">
      <x:c r="A19" s="3" t="s">
        <x:v>23</x:v>
      </x:c>
      <x:c r="B19" s="4"/>
      <x:c r="C19" s="4"/>
    </x:row>
    <x:row r="20">
      <x:c r="A20" s="5" t="s">
        <x:v>24</x:v>
      </x:c>
      <x:c r="B20" s="5" t="s">
        <x:v>16</x:v>
      </x:c>
      <x:c r="C20" s="5" t="s">
        <x:v>25</x:v>
      </x:c>
    </x:row>
    <x:row r="21">
      <x:c r="A21" s="6" t="s">
        <x:v>26</x:v>
      </x:c>
      <x:c r="B21" s="10" t="n">
        <x:f>SUMIF('Infra Cost'!$A$13:$A$38,A21,'Infra Cost'!$H$13:$H$38)</x:f>
        <x:v>27.448</x:v>
      </x:c>
      <x:c r="C21" s="11" t="n">
        <x:f t="shared" ref="C21:C29" si="0">IF($B$15&gt;0,B21/$B$15,0)</x:f>
        <x:v>0.2696995750325481</x:v>
      </x:c>
    </x:row>
    <x:row r="22">
      <x:c r="A22" s="6" t="s">
        <x:v>27</x:v>
      </x:c>
      <x:c r="B22" s="10" t="n">
        <x:f>SUMIF('Infra Cost'!$A$13:$A$38,A22,'Infra Cost'!$H$13:$H$38)</x:f>
        <x:v>34.86</x:v>
      </x:c>
      <x:c r="C22" s="11">
        <x:f t="shared" si="0"/>
        <x:v>0.31092242102071033</x:v>
      </x:c>
    </x:row>
    <x:row r="23">
      <x:c r="A23" s="6" t="s">
        <x:v>28</x:v>
      </x:c>
      <x:c r="B23" s="10" t="n">
        <x:f>SUMIF('Infra Cost'!$A$13:$A$38,A23,'Infra Cost'!$H$13:$H$38)</x:f>
        <x:v>16.825</x:v>
      </x:c>
      <x:c r="C23" s="11">
        <x:f t="shared" si="0"/>
        <x:v>0.15006510997342087</x:v>
      </x:c>
    </x:row>
    <x:row r="24">
      <x:c r="A24" s="6" t="s">
        <x:v>29</x:v>
      </x:c>
      <x:c r="B24" s="10" t="n">
        <x:f>SUMIF('Infra Cost'!$A$13:$A$38,A24,'Infra Cost'!$H$13:$H$38)</x:f>
        <x:v>10.95</x:v>
      </x:c>
      <x:c r="C24" s="11">
        <x:f t="shared" si="0"/>
        <x:v>9.7664960131290252E-2</x:v>
      </x:c>
    </x:row>
    <x:row r="25">
      <x:c r="A25" s="6" t="s">
        <x:v>30</x:v>
      </x:c>
      <x:c r="B25" s="10" t="n">
        <x:f>SUMIF('Infra Cost'!$A$13:$A$38,A25,'Infra Cost'!$H$13:$H$38)</x:f>
        <x:v>2.3899999999999997</x:v>
      </x:c>
      <x:c r="C25" s="11">
        <x:f t="shared" si="0"/>
        <x:v>2.1316826914500792E-2</x:v>
      </x:c>
    </x:row>
    <x:row r="26">
      <x:c r="A26" s="6" t="s">
        <x:v>31</x:v>
      </x:c>
      <x:c r="B26" s="10" t="n">
        <x:f>SUMIF('Infra Cost'!$A$13:$A$38,A26,'Infra Cost'!$H$13:$H$38)</x:f>
        <x:v>3.7545</x:v>
      </x:c>
      <x:c r="C26" s="11">
        <x:f t="shared" si="0"/>
        <x:v>0.12576035962111348</x:v>
      </x:c>
    </x:row>
    <x:row r="27">
      <x:c r="A27" s="6" t="s">
        <x:v>32</x:v>
      </x:c>
      <x:c r="B27" s="10" t="n">
        <x:f>SUMIF('Infra Cost'!$A$13:$A$38,A27,'Infra Cost'!$H$13:$H$38)</x:f>
        <x:v>5.005</x:v>
      </x:c>
      <x:c r="C27" s="11">
        <x:f t="shared" si="0"/>
        <x:v>4.4640468078274674E-2</x:v>
      </x:c>
    </x:row>
    <x:row r="28">
      <x:c r="A28" s="6" t="s">
        <x:v>33</x:v>
      </x:c>
      <x:c r="B28" s="10" t="n">
        <x:f>SUMIF('Infra Cost'!$A$13:$A$38,A28,'Infra Cost'!$H$13:$H$38)</x:f>
        <x:v>0.54</x:v>
      </x:c>
      <x:c r="C28" s="11">
        <x:f t="shared" si="0"/>
        <x:v>4.8163541982554096E-3</x:v>
      </x:c>
    </x:row>
    <x:row r="29">
      <x:c r="A29" s="6" t="s">
        <x:v>34</x:v>
      </x:c>
      <x:c r="B29" s="10" t="n">
        <x:f>SUMIF('Infra Cost'!$A$13:$A$38,A29,'Infra Cost'!$H$13:$H$38)</x:f>
        <x:v>0</x:v>
      </x:c>
      <x:c r="C29" s="11">
        <x:f t="shared" si="0"/>
        <x:v>0</x:v>
      </x:c>
    </x:row>
    <x:row r="30">
      <x:c r="A30" s="12" t="s">
        <x:v>35</x:v>
      </x:c>
      <x:c r="B30" s="13" t="n">
        <x:f>SUM(B21:B29)</x:f>
        <x:v>101.7725</x:v>
      </x:c>
      <x:c r="C30" s="12" t="str">
        <x:f>IF(ABS(B30-B15)&lt;0.005,"OK","Check categories")</x:f>
        <x:v>OK</x:v>
      </x:c>
    </x:row>
    <x:row r="32">
      <x:c r="A32" s="3" t="s">
        <x:v>36</x:v>
      </x:c>
      <x:c r="B32" s="4"/>
      <x:c r="C32" s="4"/>
      <x:c r="D32" s="4"/>
      <x:c r="E32" s="4"/>
    </x:row>
    <x:row r="33">
      <x:c r="A33" s="40" t="s">
        <x:v>37</x:v>
      </x:c>
      <x:c r="B33" s="41"/>
      <x:c r="C33" s="41"/>
      <x:c r="D33" s="41"/>
      <x:c r="E33" s="41"/>
    </x:row>
    <x:row r="34">
      <x:c r="A34" s="40" t="s">
        <x:v>38</x:v>
      </x:c>
      <x:c r="B34" s="41"/>
      <x:c r="C34" s="41"/>
      <x:c r="D34" s="41"/>
      <x:c r="E34" s="41"/>
    </x:row>
    <x:row r="35">
      <x:c r="A35" s="40" t="s">
        <x:v>39</x:v>
      </x:c>
      <x:c r="B35" s="41"/>
      <x:c r="C35" s="41"/>
      <x:c r="D35" s="41"/>
      <x:c r="E35" s="41"/>
    </x:row>
    <x:row r="36">
      <x:c r="A36" s="40" t="s">
        <x:v>40</x:v>
      </x:c>
      <x:c r="B36" s="41"/>
      <x:c r="C36" s="41"/>
      <x:c r="D36" s="41"/>
      <x:c r="E36" s="41"/>
    </x:row>
    <x:row r="37">
      <x:c r="A37" s="40" t="s">
        <x:v>41</x:v>
      </x:c>
      <x:c r="B37" s="41"/>
      <x:c r="C37" s="41"/>
      <x:c r="D37" s="41"/>
      <x:c r="E37" s="41"/>
    </x:row>
    <x:row r="38">
      <x:c r="A38" s="40" t="s">
        <x:v>42</x:v>
      </x:c>
      <x:c r="B38" s="41"/>
      <x:c r="C38" s="41"/>
      <x:c r="D38" s="41"/>
      <x:c r="E38" s="41"/>
    </x:row>
    <x:row r="40">
      <x:c r="A40" s="15" t="s">
        <x:v>43</x:v>
      </x:c>
    </x:row>
    <x:row r="41">
      <x:c r="A41" s="16" t="s">
        <x:v>44</x:v>
      </x:c>
      <x:c r="B41" s="17" t="s">
        <x:v>45</x:v>
      </x:c>
    </x:row>
    <x:row r="42">
      <x:c r="A42" s="8" t="s">
        <x:v>46</x:v>
      </x:c>
      <x:c r="B42" s="17" t="s">
        <x:v>47</x:v>
      </x:c>
    </x:row>
    <x:row r="43">
      <x:c r="A43" s="18" t="s">
        <x:v>48</x:v>
      </x:c>
      <x:c r="B43" s="17" t="s">
        <x:v>49</x:v>
      </x:c>
    </x:row>
  </x:sheetData>
  <x:mergeCells>
    <x:mergeCell ref="A34:E34"/>
    <x:mergeCell ref="A35:E35"/>
    <x:mergeCell ref="A38:E38"/>
    <x:mergeCell ref="A33:E33"/>
    <x:mergeCell ref="A37:E37"/>
    <x:mergeCell ref="A36:E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23.42578125" customWidth="1"/>
    <x:col min="2" max="2" width="34" customWidth="1"/>
    <x:col min="3" max="3" width="44" customWidth="1"/>
    <x:col min="4" max="4" width="36" customWidth="1"/>
    <x:col min="5" max="5" width="15" customWidth="1"/>
    <x:col min="6" max="7" width="14" customWidth="1"/>
    <x:col min="8" max="8" width="16" customWidth="1"/>
    <x:col min="9" max="9" width="12" customWidth="1"/>
    <x:col min="10" max="10" width="52" customWidth="1"/>
  </x:cols>
  <x:sheetData>
    <x:row r="1" ht="18">
      <x:c r="A1" s="1" t="s">
        <x:v>50</x:v>
      </x:c>
    </x:row>
    <x:row r="2">
      <x:c r="A2" s="2" t="s">
        <x:v>51</x:v>
      </x:c>
    </x:row>
    <x:row r="4">
      <x:c r="A4" s="3" t="s">
        <x:v>52</x:v>
      </x:c>
      <x:c r="B4" s="4"/>
      <x:c r="C4" s="4"/>
      <x:c r="D4" s="4"/>
    </x:row>
    <x:row r="5">
      <x:c r="A5" s="5" t="s">
        <x:v>53</x:v>
      </x:c>
      <x:c r="B5" s="5" t="s">
        <x:v>54</x:v>
      </x:c>
      <x:c r="C5" s="5" t="s">
        <x:v>55</x:v>
      </x:c>
      <x:c r="D5" s="5" t="s">
        <x:v>56</x:v>
      </x:c>
    </x:row>
    <x:row r="6" ht="25.5">
      <x:c r="A6" s="6" t="s">
        <x:v>6</x:v>
      </x:c>
      <x:c r="B6" s="19">
        <x:v>100</x:v>
      </x:c>
      <x:c r="C6" s="6" t="s">
        <x:v>57</x:v>
      </x:c>
      <x:c r="D6" s="20" t="s">
        <x:v>58</x:v>
      </x:c>
    </x:row>
    <x:row r="7" ht="25.5">
      <x:c r="A7" s="6" t="s">
        <x:v>59</x:v>
      </x:c>
      <x:c r="B7" s="19">
        <x:v>730</x:v>
      </x:c>
      <x:c r="C7" s="6" t="s">
        <x:v>60</x:v>
      </x:c>
      <x:c r="D7" s="20" t="s">
        <x:v>61</x:v>
      </x:c>
    </x:row>
    <x:row r="8" ht="25.5">
      <x:c r="A8" s="6" t="s">
        <x:v>62</x:v>
      </x:c>
      <x:c r="B8" s="19">
        <x:v>1</x:v>
      </x:c>
      <x:c r="C8" s="6" t="s">
        <x:v>63</x:v>
      </x:c>
      <x:c r="D8" s="20" t="s">
        <x:v>64</x:v>
      </x:c>
    </x:row>
    <x:row r="9" ht="25.5">
      <x:c r="A9" s="6" t="s">
        <x:v>65</x:v>
      </x:c>
      <x:c r="B9" s="19">
        <x:v>100</x:v>
      </x:c>
      <x:c r="C9" s="6" t="s">
        <x:v>66</x:v>
      </x:c>
      <x:c r="D9" s="20" t="s">
        <x:v>67</x:v>
      </x:c>
    </x:row>
    <x:row r="11">
      <x:c r="A11" s="3" t="s">
        <x:v>68</x:v>
      </x:c>
      <x:c r="B11" s="4"/>
      <x:c r="C11" s="4"/>
      <x:c r="D11" s="4"/>
      <x:c r="E11" s="4"/>
      <x:c r="F11" s="4"/>
      <x:c r="G11" s="4"/>
      <x:c r="H11" s="4"/>
      <x:c r="I11" s="4"/>
      <x:c r="J11" s="4"/>
    </x:row>
    <x:row r="12" ht="25.5">
      <x:c r="A12" s="5" t="s">
        <x:v>24</x:v>
      </x:c>
      <x:c r="B12" s="5" t="s">
        <x:v>69</x:v>
      </x:c>
      <x:c r="C12" s="5" t="s">
        <x:v>70</x:v>
      </x:c>
      <x:c r="D12" s="5" t="s">
        <x:v>71</x:v>
      </x:c>
      <x:c r="E12" s="5" t="s">
        <x:v>72</x:v>
      </x:c>
      <x:c r="F12" s="5" t="s">
        <x:v>73</x:v>
      </x:c>
      <x:c r="G12" s="5" t="s">
        <x:v>74</x:v>
      </x:c>
      <x:c r="H12" s="5" t="s">
        <x:v>75</x:v>
      </x:c>
      <x:c r="I12" s="5" t="s">
        <x:v>76</x:v>
      </x:c>
      <x:c r="J12" s="5" t="s">
        <x:v>77</x:v>
      </x:c>
    </x:row>
    <x:row r="13" ht="25.5">
      <x:c r="A13" s="6" t="s">
        <x:v>26</x:v>
      </x:c>
      <x:c r="B13" s="6" t="s">
        <x:v>78</x:v>
      </x:c>
      <x:c r="C13" s="20" t="s">
        <x:v>79</x:v>
      </x:c>
      <x:c r="D13" s="20" t="s">
        <x:v>80</x:v>
      </x:c>
      <x:c r="E13" s="6" t="s">
        <x:v>81</x:v>
      </x:c>
      <x:c r="F13" s="21">
        <x:v>3.7600000000000001E-2</x:v>
      </x:c>
      <x:c r="G13" s="22" t="n">
        <x:f>$B$8*$B$7</x:f>
        <x:v>730</x:v>
      </x:c>
      <x:c r="H13" s="10" t="n">
        <x:f t="shared" ref="H13:H38" si="0">F13*G13</x:f>
        <x:v>27.448</x:v>
      </x:c>
      <x:c r="I13" s="6" t="s">
        <x:v>82</x:v>
      </x:c>
      <x:c r="J13" s="23" t="s">
        <x:v>83</x:v>
      </x:c>
    </x:row>
    <x:row r="14" ht="25.5">
      <x:c r="A14" s="6" t="s">
        <x:v>29</x:v>
      </x:c>
      <x:c r="B14" s="6" t="s">
        <x:v>84</x:v>
      </x:c>
      <x:c r="C14" s="20" t="s">
        <x:v>85</x:v>
      </x:c>
      <x:c r="D14" s="20" t="s">
        <x:v>86</x:v>
      </x:c>
      <x:c r="E14" s="6" t="s">
        <x:v>87</x:v>
      </x:c>
      <x:c r="F14" s="21">
        <x:v>5.0000000000000001E-3</x:v>
      </x:c>
      <x:c r="G14" s="22" t="n">
        <x:f>$B$8*$B$7</x:f>
        <x:v>730</x:v>
      </x:c>
      <x:c r="H14" s="10">
        <x:f t="shared" si="0"/>
        <x:v>3.65</x:v>
      </x:c>
      <x:c r="I14" s="6" t="s">
        <x:v>82</x:v>
      </x:c>
      <x:c r="J14" s="23" t="s">
        <x:v>88</x:v>
      </x:c>
    </x:row>
    <x:row r="15" ht="25.5">
      <x:c r="A15" s="6" t="s">
        <x:v>28</x:v>
      </x:c>
      <x:c r="B15" s="6" t="s">
        <x:v>89</x:v>
      </x:c>
      <x:c r="C15" s="20" t="s">
        <x:v>90</x:v>
      </x:c>
      <x:c r="D15" s="20" t="s">
        <x:v>91</x:v>
      </x:c>
      <x:c r="E15" s="6" t="s">
        <x:v>92</x:v>
      </x:c>
      <x:c r="F15" s="21">
        <x:v>2.2499999999999999E-2</x:v>
      </x:c>
      <x:c r="G15" s="22" t="n">
        <x:f>$B$7</x:f>
        <x:v>730</x:v>
      </x:c>
      <x:c r="H15" s="10">
        <x:f t="shared" si="0"/>
        <x:v>16.425000000000001</x:v>
      </x:c>
      <x:c r="I15" s="6" t="s">
        <x:v>82</x:v>
      </x:c>
      <x:c r="J15" s="23" t="s">
        <x:v>93</x:v>
      </x:c>
    </x:row>
    <x:row r="16" ht="25.5">
      <x:c r="A16" s="6" t="s">
        <x:v>28</x:v>
      </x:c>
      <x:c r="B16" s="6" t="s">
        <x:v>94</x:v>
      </x:c>
      <x:c r="C16" s="20" t="s">
        <x:v>95</x:v>
      </x:c>
      <x:c r="D16" s="20" t="s">
        <x:v>96</x:v>
      </x:c>
      <x:c r="E16" s="6" t="s">
        <x:v>97</x:v>
      </x:c>
      <x:c r="F16" s="21">
        <x:v>8.0000000000000002E-3</x:v>
      </x:c>
      <x:c r="G16" s="24">
        <x:v>50</x:v>
      </x:c>
      <x:c r="H16" s="10">
        <x:f t="shared" si="0"/>
        <x:v>0.4</x:v>
      </x:c>
      <x:c r="I16" s="6" t="s">
        <x:v>82</x:v>
      </x:c>
      <x:c r="J16" s="23" t="s">
        <x:v>98</x:v>
      </x:c>
    </x:row>
    <x:row r="17" ht="25.5">
      <x:c r="A17" s="6" t="s">
        <x:v>29</x:v>
      </x:c>
      <x:c r="B17" s="6" t="s">
        <x:v>99</x:v>
      </x:c>
      <x:c r="C17" s="20" t="s">
        <x:v>100</x:v>
      </x:c>
      <x:c r="D17" s="20" t="s">
        <x:v>101</x:v>
      </x:c>
      <x:c r="E17" s="6" t="s">
        <x:v>87</x:v>
      </x:c>
      <x:c r="F17" s="21">
        <x:v>5.0000000000000001E-3</x:v>
      </x:c>
      <x:c r="G17" s="22" t="n">
        <x:f>2*$B$7</x:f>
        <x:v>1460</x:v>
      </x:c>
      <x:c r="H17" s="10">
        <x:f t="shared" si="0"/>
        <x:v>7.3</x:v>
      </x:c>
      <x:c r="I17" s="6" t="s">
        <x:v>82</x:v>
      </x:c>
      <x:c r="J17" s="23" t="s">
        <x:v>102</x:v>
      </x:c>
    </x:row>
    <x:row r="18" ht="25.5">
      <x:c r="A18" s="6" t="s">
        <x:v>27</x:v>
      </x:c>
      <x:c r="B18" s="6" t="s">
        <x:v>103</x:v>
      </x:c>
      <x:c r="C18" s="20" t="s">
        <x:v>104</x:v>
      </x:c>
      <x:c r="D18" s="20" t="s">
        <x:v>105</x:v>
      </x:c>
      <x:c r="E18" s="6" t="s">
        <x:v>81</x:v>
      </x:c>
      <x:c r="F18" s="21">
        <x:v>3.2000000000000001E-2</x:v>
      </x:c>
      <x:c r="G18" s="22" t="n">
        <x:f>$B$7</x:f>
        <x:v>730</x:v>
      </x:c>
      <x:c r="H18" s="10">
        <x:f t="shared" si="0"/>
        <x:v>23.36</x:v>
      </x:c>
      <x:c r="I18" s="6" t="s">
        <x:v>82</x:v>
      </x:c>
      <x:c r="J18" s="23" t="s">
        <x:v>106</x:v>
      </x:c>
    </x:row>
    <x:row r="19">
      <x:c r="A19" s="6" t="s">
        <x:v>27</x:v>
      </x:c>
      <x:c r="B19" s="6" t="s">
        <x:v>107</x:v>
      </x:c>
      <x:c r="C19" s="20" t="s">
        <x:v>108</x:v>
      </x:c>
      <x:c r="D19" s="20" t="s">
        <x:v>109</x:v>
      </x:c>
      <x:c r="E19" s="6" t="s">
        <x:v>110</x:v>
      </x:c>
      <x:c r="F19" s="21">
        <x:v>0.115</x:v>
      </x:c>
      <x:c r="G19" s="24">
        <x:v>100</x:v>
      </x:c>
      <x:c r="H19" s="10">
        <x:f t="shared" si="0"/>
        <x:v>11.5</x:v>
      </x:c>
      <x:c r="I19" s="6" t="s">
        <x:v>82</x:v>
      </x:c>
      <x:c r="J19" s="23" t="s">
        <x:v>111</x:v>
      </x:c>
    </x:row>
    <x:row r="20" ht="25.5">
      <x:c r="A20" s="6" t="s">
        <x:v>27</x:v>
      </x:c>
      <x:c r="B20" s="6" t="s">
        <x:v>112</x:v>
      </x:c>
      <x:c r="C20" s="20" t="s">
        <x:v>113</x:v>
      </x:c>
      <x:c r="D20" s="20" t="s">
        <x:v>114</x:v>
      </x:c>
      <x:c r="E20" s="6" t="s">
        <x:v>110</x:v>
      </x:c>
      <x:c r="F20" s="21">
        <x:v>9.5000000000000001E-2</x:v>
      </x:c>
      <x:c r="G20" s="24">
        <x:v>0</x:v>
      </x:c>
      <x:c r="H20" s="10">
        <x:f t="shared" si="0"/>
        <x:v>0</x:v>
      </x:c>
      <x:c r="I20" s="6" t="s">
        <x:v>82</x:v>
      </x:c>
      <x:c r="J20" s="23" t="s">
        <x:v>115</x:v>
      </x:c>
    </x:row>
    <x:row r="21" ht="38.25">
      <x:c r="A21" s="6" t="s">
        <x:v>30</x:v>
      </x:c>
      <x:c r="B21" s="6" t="s">
        <x:v>116</x:v>
      </x:c>
      <x:c r="C21" s="20" t="s">
        <x:v>117</x:v>
      </x:c>
      <x:c r="D21" s="20" t="s">
        <x:v>118</x:v>
      </x:c>
      <x:c r="E21" s="6" t="s">
        <x:v>110</x:v>
      </x:c>
      <x:c r="F21" s="21">
        <x:v>2.3E-2</x:v>
      </x:c>
      <x:c r="G21" s="24">
        <x:v>100</x:v>
      </x:c>
      <x:c r="H21" s="10">
        <x:f t="shared" si="0"/>
        <x:v>2.2999999999999998</x:v>
      </x:c>
      <x:c r="I21" s="6" t="s">
        <x:v>82</x:v>
      </x:c>
      <x:c r="J21" s="23" t="s">
        <x:v>119</x:v>
      </x:c>
    </x:row>
    <x:row r="22">
      <x:c r="A22" s="6" t="s">
        <x:v>30</x:v>
      </x:c>
      <x:c r="B22" s="6" t="s">
        <x:v>120</x:v>
      </x:c>
      <x:c r="C22" s="20" t="s">
        <x:v>121</x:v>
      </x:c>
      <x:c r="D22" s="20" t="s">
        <x:v>122</x:v>
      </x:c>
      <x:c r="E22" s="6" t="s">
        <x:v>123</x:v>
      </x:c>
      <x:c r="F22" s="21">
        <x:v>5.0000000000000001E-3</x:v>
      </x:c>
      <x:c r="G22" s="24">
        <x:v>10</x:v>
      </x:c>
      <x:c r="H22" s="10">
        <x:f t="shared" si="0"/>
        <x:v>0.05</x:v>
      </x:c>
      <x:c r="I22" s="6" t="s">
        <x:v>82</x:v>
      </x:c>
      <x:c r="J22" s="23" t="s">
        <x:v>124</x:v>
      </x:c>
    </x:row>
    <x:row r="23">
      <x:c r="A23" s="6" t="s">
        <x:v>30</x:v>
      </x:c>
      <x:c r="B23" s="6" t="s">
        <x:v>125</x:v>
      </x:c>
      <x:c r="C23" s="20" t="s">
        <x:v>126</x:v>
      </x:c>
      <x:c r="D23" s="20" t="s">
        <x:v>127</x:v>
      </x:c>
      <x:c r="E23" s="6" t="s">
        <x:v>123</x:v>
      </x:c>
      <x:c r="F23" s="21">
        <x:v>4.0000000000000002E-4</x:v>
      </x:c>
      <x:c r="G23" s="24">
        <x:v>100</x:v>
      </x:c>
      <x:c r="H23" s="10">
        <x:f t="shared" si="0"/>
        <x:v>0.04</x:v>
      </x:c>
      <x:c r="I23" s="6" t="s">
        <x:v>82</x:v>
      </x:c>
      <x:c r="J23" s="23" t="s">
        <x:v>128</x:v>
      </x:c>
    </x:row>
    <x:row r="24" ht="25.5">
      <x:c r="A24" s="6" t="s">
        <x:v>29</x:v>
      </x:c>
      <x:c r="B24" s="6" t="s">
        <x:v>129</x:v>
      </x:c>
      <x:c r="C24" s="20" t="s">
        <x:v>130</x:v>
      </x:c>
      <x:c r="D24" s="20" t="s">
        <x:v>131</x:v>
      </x:c>
      <x:c r="E24" s="6" t="s">
        <x:v>132</x:v>
      </x:c>
      <x:c r="F24" s="21">
        <x:v>0.09</x:v>
      </x:c>
      <x:c r="G24" s="22" t="n">
        <x:f>MAX(0,50-$B$9)</x:f>
        <x:v>0</x:v>
      </x:c>
      <x:c r="H24" s="10">
        <x:f t="shared" si="0"/>
        <x:v>0</x:v>
      </x:c>
      <x:c r="I24" s="6" t="s">
        <x:v>82</x:v>
      </x:c>
      <x:c r="J24" s="23" t="s">
        <x:v>133</x:v>
      </x:c>
    </x:row>
    <x:row r="25" ht="25.5">
      <x:c r="A25" s="6" t="s">
        <x:v>31</x:v>
      </x:c>
      <x:c r="B25" s="6" t="str">
        <x:v>CloudWatch Logs - Infrequent Access</x:v>
      </x:c>
      <x:c r="C25" s="20" t="str">
        <x:v>Collects backend JSON and container logs.</x:v>
      </x:c>
      <x:c r="D25" s="20" t="str">
        <x:v>Planning estimate: 10 MB per monthly active user</x:v>
      </x:c>
      <x:c r="E25" s="6" t="s">
        <x:v>132</x:v>
      </x:c>
      <x:c r="F25" s="21" t="n">
        <x:v>0.25</x:v>
      </x:c>
      <x:c r="G25" s="24" t="n">
        <x:f>$B$6*0.01</x:f>
        <x:v>1</x:v>
      </x:c>
      <x:c r="H25" s="10" t="n">
        <x:f t="shared" si="0">F25*G25</x:f>
        <x:v>0.25</x:v>
      </x:c>
      <x:c r="I25" s="6" t="s">
        <x:v>82</x:v>
      </x:c>
      <x:c r="J25" s="23" t="str">
        <x:v>AWS Pricing Calculator, US East (N. Virginia): Infrequent Access ingestion $0.25/GB; region-dependent. 10 MB per monthly active user is a planning assumption, not measured usage.</x:v>
      </x:c>
    </x:row>
    <x:row r="26">
      <x:c r="A26" s="6" t="s">
        <x:v>31</x:v>
      </x:c>
      <x:c r="B26" s="6" t="str">
        <x:v>Amazon CloudWatch Logs - retention</x:v>
      </x:c>
      <x:c r="C26" s="20" t="str">
        <x:v>Stores compressed logs for troubleshooting.</x:v>
      </x:c>
      <x:c r="D26" s="20" t="str">
        <x:v>30-day retention; 15% of ingested volume stored (calculator estimate)</x:v>
      </x:c>
      <x:c r="E26" s="6" t="s">
        <x:v>110</x:v>
      </x:c>
      <x:c r="F26" s="21">
        <x:v>0.03</x:v>
      </x:c>
      <x:c r="G26" s="24" t="n">
        <x:f>G25*0.15</x:f>
        <x:v>0.15</x:v>
      </x:c>
      <x:c r="H26" s="10" t="n">
        <x:f t="shared" si="0">F26*G26</x:f>
        <x:v>0.0045</x:v>
      </x:c>
      <x:c r="I26" s="6" t="s">
        <x:v>82</x:v>
      </x:c>
      <x:c r="J26" s="23" t="str">
        <x:v>AWS Pricing Calculator estimates stored volume at 15% of ingested volume for one-month retention; $0.03/GB-month.</x:v>
      </x:c>
    </x:row>
    <x:row r="27" ht="25.5">
      <x:c r="A27" s="6" t="s">
        <x:v>31</x:v>
      </x:c>
      <x:c r="B27" s="6" t="s">
        <x:v>134</x:v>
      </x:c>
      <x:c r="C27" s="20" t="s">
        <x:v>135</x:v>
      </x:c>
      <x:c r="D27" s="20" t="s">
        <x:v>136</x:v>
      </x:c>
      <x:c r="E27" s="6" t="s">
        <x:v>137</x:v>
      </x:c>
      <x:c r="F27" s="21">
        <x:v>0.3</x:v>
      </x:c>
      <x:c r="G27" s="24">
        <x:v>10</x:v>
      </x:c>
      <x:c r="H27" s="10" t="n">
        <x:f t="shared" si="0">F27*G27</x:f>
        <x:v>3</x:v>
      </x:c>
      <x:c r="I27" s="6" t="s">
        <x:v>82</x:v>
      </x:c>
      <x:c r="J27" s="23" t="s">
        <x:v>138</x:v>
      </x:c>
    </x:row>
    <x:row r="28" ht="25.5">
      <x:c r="A28" s="6" t="s">
        <x:v>31</x:v>
      </x:c>
      <x:c r="B28" s="6" t="s">
        <x:v>139</x:v>
      </x:c>
      <x:c r="C28" s="20" t="s">
        <x:v>140</x:v>
      </x:c>
      <x:c r="D28" s="20" t="s">
        <x:v>141</x:v>
      </x:c>
      <x:c r="E28" s="6" t="s">
        <x:v>142</x:v>
      </x:c>
      <x:c r="F28" s="21">
        <x:v>0.1</x:v>
      </x:c>
      <x:c r="G28" s="24">
        <x:v>5</x:v>
      </x:c>
      <x:c r="H28" s="10" t="n">
        <x:f t="shared" si="0">F28*G28</x:f>
        <x:v>0.5</x:v>
      </x:c>
      <x:c r="I28" s="6" t="s">
        <x:v>82</x:v>
      </x:c>
      <x:c r="J28" s="23" t="s">
        <x:v>138</x:v>
      </x:c>
    </x:row>
    <x:row r="29" ht="25.5">
      <x:c r="A29" s="6" t="s">
        <x:v>32</x:v>
      </x:c>
      <x:c r="B29" s="6" t="s">
        <x:v>143</x:v>
      </x:c>
      <x:c r="C29" s="20" t="s">
        <x:v>144</x:v>
      </x:c>
      <x:c r="D29" s="20" t="s">
        <x:v>145</x:v>
      </x:c>
      <x:c r="E29" s="6" t="s">
        <x:v>146</x:v>
      </x:c>
      <x:c r="F29" s="21">
        <x:v>0.4</x:v>
      </x:c>
      <x:c r="G29" s="24">
        <x:v>5</x:v>
      </x:c>
      <x:c r="H29" s="10">
        <x:f t="shared" si="0"/>
        <x:v>2</x:v>
      </x:c>
      <x:c r="I29" s="6" t="s">
        <x:v>82</x:v>
      </x:c>
      <x:c r="J29" s="23" t="s">
        <x:v>147</x:v>
      </x:c>
    </x:row>
    <x:row r="30">
      <x:c r="A30" s="6" t="s">
        <x:v>32</x:v>
      </x:c>
      <x:c r="B30" s="6" t="s">
        <x:v>148</x:v>
      </x:c>
      <x:c r="C30" s="20" t="s">
        <x:v>149</x:v>
      </x:c>
      <x:c r="D30" s="20" t="s">
        <x:v>150</x:v>
      </x:c>
      <x:c r="E30" s="6" t="s">
        <x:v>151</x:v>
      </x:c>
      <x:c r="F30" s="21">
        <x:v>0.05</x:v>
      </x:c>
      <x:c r="G30" s="24">
        <x:v>0.1</x:v>
      </x:c>
      <x:c r="H30" s="10">
        <x:f t="shared" si="0"/>
        <x:v>5.000000000000001E-3</x:v>
      </x:c>
      <x:c r="I30" s="6" t="s">
        <x:v>82</x:v>
      </x:c>
      <x:c r="J30" s="23" t="s">
        <x:v>152</x:v>
      </x:c>
    </x:row>
    <x:row r="31" ht="24">
      <x:c r="A31" s="6" t="s">
        <x:v>33</x:v>
      </x:c>
      <x:c r="B31" s="6" t="s">
        <x:v>153</x:v>
      </x:c>
      <x:c r="C31" s="20" t="s">
        <x:v>154</x:v>
      </x:c>
      <x:c r="D31" s="20" t="s">
        <x:v>155</x:v>
      </x:c>
      <x:c r="E31" s="6" t="s">
        <x:v>156</x:v>
      </x:c>
      <x:c r="F31" s="21">
        <x:v>0.5</x:v>
      </x:c>
      <x:c r="G31" s="24">
        <x:v>1</x:v>
      </x:c>
      <x:c r="H31" s="10">
        <x:f t="shared" si="0"/>
        <x:v>0.5</x:v>
      </x:c>
      <x:c r="I31" s="6" t="s">
        <x:v>82</x:v>
      </x:c>
      <x:c r="J31" s="23" t="s">
        <x:v>157</x:v>
      </x:c>
    </x:row>
    <x:row r="32">
      <x:c r="A32" s="6" t="s">
        <x:v>33</x:v>
      </x:c>
      <x:c r="B32" s="6" t="s">
        <x:v>158</x:v>
      </x:c>
      <x:c r="C32" s="20" t="s">
        <x:v>159</x:v>
      </x:c>
      <x:c r="D32" s="20" t="s">
        <x:v>160</x:v>
      </x:c>
      <x:c r="E32" s="6" t="s">
        <x:v>161</x:v>
      </x:c>
      <x:c r="F32" s="21">
        <x:v>0.4</x:v>
      </x:c>
      <x:c r="G32" s="24">
        <x:v>0.1</x:v>
      </x:c>
      <x:c r="H32" s="10">
        <x:f t="shared" si="0"/>
        <x:v>4.0000000000000008E-2</x:v>
      </x:c>
      <x:c r="I32" s="6" t="s">
        <x:v>82</x:v>
      </x:c>
      <x:c r="J32" s="23" t="s">
        <x:v>162</x:v>
      </x:c>
    </x:row>
    <x:row r="33" ht="25.5">
      <x:c r="A33" s="6" t="s">
        <x:v>32</x:v>
      </x:c>
      <x:c r="B33" s="6" t="s">
        <x:v>163</x:v>
      </x:c>
      <x:c r="C33" s="20" t="s">
        <x:v>164</x:v>
      </x:c>
      <x:c r="D33" s="20" t="s">
        <x:v>165</x:v>
      </x:c>
      <x:c r="E33" s="6" t="s">
        <x:v>166</x:v>
      </x:c>
      <x:c r="F33" s="21">
        <x:v>1</x:v>
      </x:c>
      <x:c r="G33" s="24">
        <x:v>3</x:v>
      </x:c>
      <x:c r="H33" s="10">
        <x:f t="shared" si="0"/>
        <x:v>3</x:v>
      </x:c>
      <x:c r="I33" s="6" t="s">
        <x:v>167</x:v>
      </x:c>
      <x:c r="J33" s="23" t="s">
        <x:v>168</x:v>
      </x:c>
    </x:row>
    <x:row r="34">
      <x:c r="A34" s="6" t="s">
        <x:v>32</x:v>
      </x:c>
      <x:c r="B34" s="6" t="s">
        <x:v>169</x:v>
      </x:c>
      <x:c r="C34" s="20" t="s">
        <x:v>170</x:v>
      </x:c>
      <x:c r="D34" s="20" t="s">
        <x:v>171</x:v>
      </x:c>
      <x:c r="E34" s="6" t="s">
        <x:v>172</x:v>
      </x:c>
      <x:c r="F34" s="21">
        <x:v>0</x:v>
      </x:c>
      <x:c r="G34" s="24">
        <x:v>1</x:v>
      </x:c>
      <x:c r="H34" s="10">
        <x:f t="shared" si="0"/>
        <x:v>0</x:v>
      </x:c>
      <x:c r="I34" s="6" t="s">
        <x:v>82</x:v>
      </x:c>
      <x:c r="J34" s="23" t="s">
        <x:v>173</x:v>
      </x:c>
    </x:row>
    <x:row r="35" ht="25.5">
      <x:c r="A35" s="6" t="s">
        <x:v>32</x:v>
      </x:c>
      <x:c r="B35" s="6" t="s">
        <x:v>174</x:v>
      </x:c>
      <x:c r="C35" s="20" t="s">
        <x:v>175</x:v>
      </x:c>
      <x:c r="D35" s="20" t="s">
        <x:v>176</x:v>
      </x:c>
      <x:c r="E35" s="6" t="s">
        <x:v>177</x:v>
      </x:c>
      <x:c r="F35" s="21">
        <x:v>0</x:v>
      </x:c>
      <x:c r="G35" s="24">
        <x:v>1</x:v>
      </x:c>
      <x:c r="H35" s="10">
        <x:f t="shared" si="0"/>
        <x:v>0</x:v>
      </x:c>
      <x:c r="I35" s="6" t="s">
        <x:v>82</x:v>
      </x:c>
      <x:c r="J35" s="23" t="s">
        <x:v>178</x:v>
      </x:c>
    </x:row>
    <x:row r="36" ht="25.5">
      <x:c r="A36" s="6" t="s">
        <x:v>29</x:v>
      </x:c>
      <x:c r="B36" s="6" t="s">
        <x:v>179</x:v>
      </x:c>
      <x:c r="C36" s="20" t="s">
        <x:v>180</x:v>
      </x:c>
      <x:c r="D36" s="20" t="s">
        <x:v>181</x:v>
      </x:c>
      <x:c r="E36" s="6" t="s">
        <x:v>177</x:v>
      </x:c>
      <x:c r="F36" s="21">
        <x:v>0</x:v>
      </x:c>
      <x:c r="G36" s="24">
        <x:v>1</x:v>
      </x:c>
      <x:c r="H36" s="10">
        <x:f t="shared" si="0"/>
        <x:v>0</x:v>
      </x:c>
      <x:c r="I36" s="6" t="s">
        <x:v>82</x:v>
      </x:c>
      <x:c r="J36" s="23" t="s">
        <x:v>182</x:v>
      </x:c>
    </x:row>
    <x:row r="37">
      <x:c r="A37" s="6" t="s">
        <x:v>29</x:v>
      </x:c>
      <x:c r="B37" s="6" t="s">
        <x:v>183</x:v>
      </x:c>
      <x:c r="C37" s="20" t="s">
        <x:v>184</x:v>
      </x:c>
      <x:c r="D37" s="20" t="s">
        <x:v>185</x:v>
      </x:c>
      <x:c r="E37" s="6" t="s">
        <x:v>186</x:v>
      </x:c>
      <x:c r="F37" s="21">
        <x:v>4.4999999999999998E-2</x:v>
      </x:c>
      <x:c r="G37" s="24">
        <x:v>0</x:v>
      </x:c>
      <x:c r="H37" s="10">
        <x:f t="shared" si="0"/>
        <x:v>0</x:v>
      </x:c>
      <x:c r="I37" s="6" t="s">
        <x:v>187</x:v>
      </x:c>
      <x:c r="J37" s="23" t="s">
        <x:v>188</x:v>
      </x:c>
    </x:row>
    <x:row r="38" ht="25.5">
      <x:c r="A38" s="6" t="s">
        <x:v>34</x:v>
      </x:c>
      <x:c r="B38" s="6" t="s">
        <x:v>189</x:v>
      </x:c>
      <x:c r="C38" s="20" t="s">
        <x:v>190</x:v>
      </x:c>
      <x:c r="D38" s="20" t="s">
        <x:v>185</x:v>
      </x:c>
      <x:c r="E38" s="6" t="s">
        <x:v>110</x:v>
      </x:c>
      <x:c r="F38" s="21">
        <x:v>0.1</x:v>
      </x:c>
      <x:c r="G38" s="24">
        <x:v>0</x:v>
      </x:c>
      <x:c r="H38" s="10">
        <x:f t="shared" si="0"/>
        <x:v>0</x:v>
      </x:c>
      <x:c r="I38" s="6" t="s">
        <x:v>187</x:v>
      </x:c>
      <x:c r="J38" s="23" t="s">
        <x:v>191</x:v>
      </x:c>
    </x:row>
    <x:row r="39">
      <x:c r="A39" s="12" t="s">
        <x:v>192</x:v>
      </x:c>
      <x:c r="B39" s="25"/>
      <x:c r="C39" s="25"/>
      <x:c r="D39" s="25"/>
      <x:c r="E39" s="25"/>
      <x:c r="F39" s="25"/>
      <x:c r="G39" s="25"/>
      <x:c r="H39" s="13" t="n">
        <x:f>SUM(H13:H38)</x:f>
        <x:v>101.7725</x:v>
      </x:c>
      <x:c r="I39" s="25"/>
      <x:c r="J39" s="25"/>
    </x:row>
    <x:row r="40">
      <x:c r="A40" s="26" t="s">
        <x:v>193</x:v>
      </x:c>
      <x:c r="H40" s="27" t="n">
        <x:f>H39*12</x:f>
        <x:v>1221.27</x:v>
      </x:c>
    </x:row>
    <x:row r="41">
      <x:c r="A41" s="26" t="s">
        <x:v>194</x:v>
      </x:c>
      <x:c r="H41" s="27" t="n">
        <x:f>IF($B$6&gt;0,H39/$B$6,0)</x:f>
        <x:v>1.017725</x:v>
      </x:c>
    </x:row>
    <x:row r="43">
      <x:c r="A43" s="2" t="s">
        <x:v>195</x:v>
      </x:c>
    </x:row>
    <x:row r="44">
      <x:c r="A44" s="2" t="s">
        <x:v>196</x:v>
      </x:c>
    </x:row>
    <x:row r="45">
      <x:c r="A45" s="2" t="s">
        <x:v>197</x:v>
      </x:c>
    </x:row>
    <x:row r="47">
      <x:c r="A47" s="15" t="s">
        <x:v>43</x:v>
      </x:c>
    </x:row>
    <x:row r="48">
      <x:c r="A48" s="16" t="s">
        <x:v>44</x:v>
      </x:c>
      <x:c r="B48" s="17" t="s">
        <x:v>45</x:v>
      </x:c>
    </x:row>
    <x:row r="49">
      <x:c r="A49" s="8" t="s">
        <x:v>46</x:v>
      </x:c>
      <x:c r="B49" s="17" t="s">
        <x:v>47</x:v>
      </x:c>
    </x:row>
    <x:row r="50">
      <x:c r="A50" s="18" t="s">
        <x:v>48</x:v>
      </x:c>
      <x:c r="B50" s="17" t="s">
        <x:v>49</x:v>
      </x:c>
    </x:row>
  </x:sheetData>
  <x:pageMargins left="0.7" right="0.7" top="0.75" bottom="0.75" header="0.3" footer="0.3"/>
  <x:legacyDrawing xmlns:r="http://schemas.openxmlformats.org/officeDocument/2006/relationships" r:id="R15486ac5780142e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6" customWidth="1"/>
    <x:col min="2" max="3" width="16" customWidth="1"/>
    <x:col min="4" max="4" width="22" customWidth="1"/>
    <x:col min="5" max="5" width="18" customWidth="1"/>
    <x:col min="6" max="6" width="40" customWidth="1"/>
    <x:col min="7" max="7" width="18" customWidth="1"/>
  </x:cols>
  <x:sheetData>
    <x:row r="1" ht="18">
      <x:c r="A1" s="1" t="s">
        <x:v>198</x:v>
      </x:c>
    </x:row>
    <x:row r="2">
      <x:c r="A2" s="2" t="s">
        <x:v>199</x:v>
      </x:c>
    </x:row>
    <x:row r="4">
      <x:c r="A4" s="3" t="s">
        <x:v>200</x:v>
      </x:c>
      <x:c r="B4" s="4"/>
      <x:c r="C4" s="4"/>
      <x:c r="D4" s="4"/>
    </x:row>
    <x:row r="5">
      <x:c r="A5" s="5" t="s">
        <x:v>53</x:v>
      </x:c>
      <x:c r="B5" s="5" t="s">
        <x:v>54</x:v>
      </x:c>
      <x:c r="C5" s="5" t="s">
        <x:v>55</x:v>
      </x:c>
      <x:c r="D5" s="5" t="s">
        <x:v>56</x:v>
      </x:c>
    </x:row>
    <x:row r="6" ht="38.25">
      <x:c r="A6" s="6" t="s">
        <x:v>6</x:v>
      </x:c>
      <x:c r="B6" s="7" t="n">
        <x:f>'Infra Cost'!B6</x:f>
        <x:v>100</x:v>
      </x:c>
      <x:c r="C6" s="6" t="s">
        <x:v>57</x:v>
      </x:c>
      <x:c r="D6" s="20" t="s">
        <x:v>201</x:v>
      </x:c>
    </x:row>
    <x:row r="7" ht="38.25">
      <x:c r="A7" s="6" t="s">
        <x:v>202</x:v>
      </x:c>
      <x:c r="B7" s="19">
        <x:v>4</x:v>
      </x:c>
      <x:c r="C7" s="6" t="s">
        <x:v>203</x:v>
      </x:c>
      <x:c r="D7" s="20" t="s">
        <x:v>204</x:v>
      </x:c>
    </x:row>
    <x:row r="8" ht="25.5">
      <x:c r="A8" s="6" t="s">
        <x:v>205</x:v>
      </x:c>
      <x:c r="B8" s="19">
        <x:v>2</x:v>
      </x:c>
      <x:c r="C8" s="6" t="s">
        <x:v>206</x:v>
      </x:c>
      <x:c r="D8" s="20" t="s">
        <x:v>207</x:v>
      </x:c>
    </x:row>
    <x:row r="9" ht="25.5">
      <x:c r="A9" s="6" t="s">
        <x:v>208</x:v>
      </x:c>
      <x:c r="B9" s="19">
        <x:v>0</x:v>
      </x:c>
      <x:c r="C9" s="6" t="s">
        <x:v>206</x:v>
      </x:c>
      <x:c r="D9" s="20" t="s">
        <x:v>209</x:v>
      </x:c>
    </x:row>
    <x:row r="10" ht="38.25">
      <x:c r="A10" s="6" t="s">
        <x:v>210</x:v>
      </x:c>
      <x:c r="B10" s="28">
        <x:v>0.2</x:v>
      </x:c>
      <x:c r="C10" s="6" t="s">
        <x:v>211</x:v>
      </x:c>
      <x:c r="D10" s="20" t="s">
        <x:v>212</x:v>
      </x:c>
    </x:row>
    <x:row r="11" ht="25.5">
      <x:c r="A11" s="6" t="s">
        <x:v>213</x:v>
      </x:c>
      <x:c r="B11" s="28">
        <x:v>0.1</x:v>
      </x:c>
      <x:c r="C11" s="6" t="s">
        <x:v>211</x:v>
      </x:c>
      <x:c r="D11" s="20" t="s">
        <x:v>214</x:v>
      </x:c>
    </x:row>
    <x:row r="12" ht="25.5">
      <x:c r="A12" s="6" t="s">
        <x:v>215</x:v>
      </x:c>
      <x:c r="B12" s="28">
        <x:v>0.5</x:v>
      </x:c>
      <x:c r="C12" s="6" t="s">
        <x:v>216</x:v>
      </x:c>
      <x:c r="D12" s="20" t="s">
        <x:v>217</x:v>
      </x:c>
    </x:row>
    <x:row r="13" ht="38.25">
      <x:c r="A13" s="6" t="s">
        <x:v>218</x:v>
      </x:c>
      <x:c r="B13" s="28">
        <x:v>0.25</x:v>
      </x:c>
      <x:c r="C13" s="6" t="s">
        <x:v>216</x:v>
      </x:c>
      <x:c r="D13" s="20" t="s">
        <x:v>219</x:v>
      </x:c>
    </x:row>
    <x:row r="14" ht="25.5">
      <x:c r="A14" s="6" t="s">
        <x:v>220</x:v>
      </x:c>
      <x:c r="B14" s="28">
        <x:v>0.25</x:v>
      </x:c>
      <x:c r="C14" s="6" t="s">
        <x:v>216</x:v>
      </x:c>
      <x:c r="D14" s="20" t="s">
        <x:v>221</x:v>
      </x:c>
    </x:row>
    <x:row r="15" ht="38.25">
      <x:c r="A15" s="6" t="s">
        <x:v>222</x:v>
      </x:c>
      <x:c r="B15" s="28">
        <x:v>0.3</x:v>
      </x:c>
      <x:c r="C15" s="6" t="s">
        <x:v>223</x:v>
      </x:c>
      <x:c r="D15" s="20" t="s">
        <x:v>224</x:v>
      </x:c>
    </x:row>
    <x:row r="16" ht="25.5">
      <x:c r="A16" s="6" t="s">
        <x:v>225</x:v>
      </x:c>
      <x:c r="B16" s="28">
        <x:v>0.3</x:v>
      </x:c>
      <x:c r="C16" s="6" t="s">
        <x:v>223</x:v>
      </x:c>
      <x:c r="D16" s="20" t="s">
        <x:v>226</x:v>
      </x:c>
    </x:row>
    <x:row r="17" ht="25.5">
      <x:c r="A17" s="6" t="s">
        <x:v>227</x:v>
      </x:c>
      <x:c r="B17" s="19">
        <x:v>3</x:v>
      </x:c>
      <x:c r="C17" s="6" t="s">
        <x:v>228</x:v>
      </x:c>
      <x:c r="D17" s="20" t="s">
        <x:v>229</x:v>
      </x:c>
    </x:row>
    <x:row r="18">
      <x:c r="A18" s="6" t="s">
        <x:v>230</x:v>
      </x:c>
      <x:c r="B18" s="19">
        <x:v>1</x:v>
      </x:c>
      <x:c r="C18" s="6" t="s">
        <x:v>231</x:v>
      </x:c>
      <x:c r="D18" s="20" t="s">
        <x:v>232</x:v>
      </x:c>
    </x:row>
    <x:row r="19" ht="25.5">
      <x:c r="A19" s="6" t="s">
        <x:v>233</x:v>
      </x:c>
      <x:c r="B19" s="28">
        <x:v>0.1</x:v>
      </x:c>
      <x:c r="C19" s="6" t="s">
        <x:v>223</x:v>
      </x:c>
      <x:c r="D19" s="20" t="s">
        <x:v>234</x:v>
      </x:c>
    </x:row>
    <x:row r="20" ht="25.5">
      <x:c r="A20" s="6" t="s">
        <x:v>235</x:v>
      </x:c>
      <x:c r="B20" s="28">
        <x:v>0.1</x:v>
      </x:c>
      <x:c r="C20" s="6" t="s">
        <x:v>223</x:v>
      </x:c>
      <x:c r="D20" s="20" t="s">
        <x:v>236</x:v>
      </x:c>
    </x:row>
    <x:row r="21" ht="25.5">
      <x:c r="A21" s="6" t="s">
        <x:v>237</x:v>
      </x:c>
      <x:c r="B21" s="28">
        <x:v>0.05</x:v>
      </x:c>
      <x:c r="C21" s="6" t="s">
        <x:v>216</x:v>
      </x:c>
      <x:c r="D21" s="20" t="s">
        <x:v>238</x:v>
      </x:c>
    </x:row>
    <x:row r="22" ht="25.5">
      <x:c r="A22" s="6" t="s">
        <x:v>239</x:v>
      </x:c>
      <x:c r="B22" s="19">
        <x:v>4000</x:v>
      </x:c>
      <x:c r="C22" s="6" t="s">
        <x:v>240</x:v>
      </x:c>
      <x:c r="D22" s="20" t="s">
        <x:v>241</x:v>
      </x:c>
    </x:row>
    <x:row r="23" ht="25.5">
      <x:c r="A23" s="6" t="s">
        <x:v>242</x:v>
      </x:c>
      <x:c r="B23" s="28">
        <x:v>0</x:v>
      </x:c>
      <x:c r="C23" s="6" t="s">
        <x:v>216</x:v>
      </x:c>
      <x:c r="D23" s="20" t="s">
        <x:v>243</x:v>
      </x:c>
    </x:row>
    <x:row r="25">
      <x:c r="A25" s="3" t="s">
        <x:v>244</x:v>
      </x:c>
      <x:c r="B25" s="4"/>
      <x:c r="C25" s="4"/>
      <x:c r="D25" s="4"/>
    </x:row>
    <x:row r="26">
      <x:c r="A26" s="5" t="s">
        <x:v>245</x:v>
      </x:c>
      <x:c r="B26" s="5" t="s">
        <x:v>54</x:v>
      </x:c>
      <x:c r="C26" s="5" t="s">
        <x:v>55</x:v>
      </x:c>
      <x:c r="D26" s="5" t="s">
        <x:v>56</x:v>
      </x:c>
    </x:row>
    <x:row r="27" ht="76.5">
      <x:c r="A27" s="6" t="s">
        <x:v>246</x:v>
      </x:c>
      <x:c r="B27" s="29">
        <x:v>0.1</x:v>
      </x:c>
      <x:c r="C27" s="6" t="s">
        <x:v>247</x:v>
      </x:c>
      <x:c r="D27" s="20" t="s">
        <x:v>248</x:v>
      </x:c>
    </x:row>
    <x:row r="28" ht="25.5">
      <x:c r="A28" s="6" t="s">
        <x:v>249</x:v>
      </x:c>
      <x:c r="B28" s="29">
        <x:v>0.5</x:v>
      </x:c>
      <x:c r="C28" s="6" t="s">
        <x:v>247</x:v>
      </x:c>
      <x:c r="D28" s="20" t="s">
        <x:v>250</x:v>
      </x:c>
    </x:row>
    <x:row r="29" ht="25.5">
      <x:c r="A29" s="6" t="s">
        <x:v>251</x:v>
      </x:c>
      <x:c r="B29" s="29">
        <x:v>0.01</x:v>
      </x:c>
      <x:c r="C29" s="6" t="s">
        <x:v>247</x:v>
      </x:c>
      <x:c r="D29" s="20" t="s">
        <x:v>250</x:v>
      </x:c>
    </x:row>
    <x:row r="30" ht="51">
      <x:c r="A30" s="6" t="s">
        <x:v>252</x:v>
      </x:c>
      <x:c r="B30" s="29">
        <x:v>0.01</x:v>
      </x:c>
      <x:c r="C30" s="6" t="s">
        <x:v>253</x:v>
      </x:c>
      <x:c r="D30" s="20" t="s">
        <x:v>254</x:v>
      </x:c>
    </x:row>
    <x:row r="31" ht="38.25">
      <x:c r="A31" s="6" t="s">
        <x:v>255</x:v>
      </x:c>
      <x:c r="B31" s="30">
        <x:v>2</x:v>
      </x:c>
      <x:c r="C31" s="6" t="s">
        <x:v>256</x:v>
      </x:c>
      <x:c r="D31" s="20" t="s">
        <x:v>257</x:v>
      </x:c>
    </x:row>
    <x:row r="33">
      <x:c r="A33" s="3" t="s">
        <x:v>258</x:v>
      </x:c>
      <x:c r="B33" s="4"/>
      <x:c r="C33" s="4"/>
      <x:c r="D33" s="4"/>
      <x:c r="E33" s="4"/>
      <x:c r="F33" s="4"/>
    </x:row>
    <x:row r="34" ht="25.5">
      <x:c r="A34" s="5" t="s">
        <x:v>259</x:v>
      </x:c>
      <x:c r="B34" s="5" t="s">
        <x:v>11</x:v>
      </x:c>
      <x:c r="C34" s="5" t="s">
        <x:v>12</x:v>
      </x:c>
      <x:c r="D34" s="5" t="s">
        <x:v>260</x:v>
      </x:c>
      <x:c r="E34" s="5" t="s">
        <x:v>261</x:v>
      </x:c>
      <x:c r="F34" s="5" t="s">
        <x:v>56</x:v>
      </x:c>
    </x:row>
    <x:row r="35">
      <x:c r="A35" s="6" t="s">
        <x:v>262</x:v>
      </x:c>
      <x:c r="B35" s="19">
        <x:v>450</x:v>
      </x:c>
      <x:c r="C35" s="19">
        <x:v>60</x:v>
      </x:c>
      <x:c r="D35" s="31">
        <x:v>258</x:v>
      </x:c>
      <x:c r="E35" s="31">
        <x:v>10</x:v>
      </x:c>
      <x:c r="F35" s="23" t="s">
        <x:v>263</x:v>
      </x:c>
    </x:row>
    <x:row r="36">
      <x:c r="A36" s="6" t="s">
        <x:v>264</x:v>
      </x:c>
      <x:c r="B36" s="19">
        <x:v>1400</x:v>
      </x:c>
      <x:c r="C36" s="19">
        <x:v>300</x:v>
      </x:c>
      <x:c r="D36" s="31">
        <x:v>1527</x:v>
      </x:c>
      <x:c r="E36" s="31">
        <x:v>63</x:v>
      </x:c>
      <x:c r="F36" s="23" t="s">
        <x:v>263</x:v>
      </x:c>
    </x:row>
    <x:row r="37">
      <x:c r="A37" s="6" t="s">
        <x:v>265</x:v>
      </x:c>
      <x:c r="B37" s="19">
        <x:v>1600</x:v>
      </x:c>
      <x:c r="C37" s="19">
        <x:v>500</x:v>
      </x:c>
      <x:c r="D37" s="31">
        <x:v>2015</x:v>
      </x:c>
      <x:c r="E37" s="31">
        <x:v>46</x:v>
      </x:c>
      <x:c r="F37" s="23" t="s">
        <x:v>263</x:v>
      </x:c>
    </x:row>
    <x:row r="38">
      <x:c r="A38" s="6" t="s">
        <x:v>266</x:v>
      </x:c>
      <x:c r="B38" s="19">
        <x:v>11250</x:v>
      </x:c>
      <x:c r="C38" s="19">
        <x:v>1200</x:v>
      </x:c>
      <x:c r="D38" s="31">
        <x:v>7067</x:v>
      </x:c>
      <x:c r="E38" s="31">
        <x:v>439</x:v>
      </x:c>
      <x:c r="F38" s="23" t="s">
        <x:v>263</x:v>
      </x:c>
    </x:row>
    <x:row r="39">
      <x:c r="A39" s="6" t="s">
        <x:v>267</x:v>
      </x:c>
      <x:c r="B39" s="19">
        <x:v>810</x:v>
      </x:c>
      <x:c r="C39" s="19">
        <x:v>400</x:v>
      </x:c>
      <x:c r="D39" s="31" t="s">
        <x:v>268</x:v>
      </x:c>
      <x:c r="E39" s="31" t="s">
        <x:v>268</x:v>
      </x:c>
      <x:c r="F39" s="23" t="s">
        <x:v>263</x:v>
      </x:c>
    </x:row>
    <x:row r="40">
      <x:c r="A40" s="6" t="s">
        <x:v>269</x:v>
      </x:c>
      <x:c r="B40" s="19">
        <x:v>3200</x:v>
      </x:c>
      <x:c r="C40" s="19">
        <x:v>2000</x:v>
      </x:c>
      <x:c r="D40" s="31">
        <x:v>2615</x:v>
      </x:c>
      <x:c r="E40" s="31">
        <x:v>201</x:v>
      </x:c>
      <x:c r="F40" s="23" t="s">
        <x:v>263</x:v>
      </x:c>
    </x:row>
    <x:row r="41" ht="36">
      <x:c r="A41" s="6" t="s">
        <x:v>270</x:v>
      </x:c>
      <x:c r="B41" s="19">
        <x:v>600</x:v>
      </x:c>
      <x:c r="C41" s="19">
        <x:v>1500</x:v>
      </x:c>
      <x:c r="D41" s="31" t="s">
        <x:v>268</x:v>
      </x:c>
      <x:c r="E41" s="31">
        <x:v>604</x:v>
      </x:c>
      <x:c r="F41" s="23" t="s">
        <x:v>271</x:v>
      </x:c>
    </x:row>
    <x:row r="42">
      <x:c r="A42" s="6" t="s">
        <x:v>272</x:v>
      </x:c>
      <x:c r="B42" s="19">
        <x:v>500</x:v>
      </x:c>
      <x:c r="C42" s="19">
        <x:v>200</x:v>
      </x:c>
      <x:c r="D42" s="31">
        <x:v>580</x:v>
      </x:c>
      <x:c r="E42" s="31">
        <x:v>34</x:v>
      </x:c>
      <x:c r="F42" s="23" t="s">
        <x:v>263</x:v>
      </x:c>
    </x:row>
    <x:row r="43">
      <x:c r="A43" s="2" t="s">
        <x:v>273</x:v>
      </x:c>
    </x:row>
    <x:row r="45">
      <x:c r="A45" s="3" t="s">
        <x:v>274</x:v>
      </x:c>
      <x:c r="B45" s="4"/>
      <x:c r="C45" s="4"/>
      <x:c r="D45" s="4"/>
      <x:c r="E45" s="4"/>
      <x:c r="F45" s="4"/>
      <x:c r="G45" s="4"/>
    </x:row>
    <x:row r="46">
      <x:c r="A46" s="5" t="s">
        <x:v>275</x:v>
      </x:c>
      <x:c r="B46" s="5" t="s">
        <x:v>276</x:v>
      </x:c>
      <x:c r="C46" s="5" t="s">
        <x:v>277</x:v>
      </x:c>
      <x:c r="D46" s="5" t="s">
        <x:v>11</x:v>
      </x:c>
      <x:c r="E46" s="5" t="s">
        <x:v>12</x:v>
      </x:c>
      <x:c r="F46" s="5" t="s">
        <x:v>278</x:v>
      </x:c>
      <x:c r="G46" s="5" t="s">
        <x:v>279</x:v>
      </x:c>
    </x:row>
    <x:row r="47">
      <x:c r="A47" s="6" t="s">
        <x:v>280</x:v>
      </x:c>
      <x:c r="B47" s="11" t="n">
        <x:f>$B$10</x:f>
        <x:v>0.2</x:v>
      </x:c>
      <x:c r="C47" s="22" t="n">
        <x:f>0</x:f>
        <x:v>0</x:v>
      </x:c>
      <x:c r="D47" s="22" t="n">
        <x:f>0</x:f>
        <x:v>0</x:v>
      </x:c>
      <x:c r="E47" s="22" t="n">
        <x:f>0</x:f>
        <x:v>0</x:v>
      </x:c>
      <x:c r="F47" s="22" t="n">
        <x:f>0</x:f>
        <x:v>0</x:v>
      </x:c>
      <x:c r="G47" s="22" t="n">
        <x:f>0</x:f>
        <x:v>0</x:v>
      </x:c>
    </x:row>
    <x:row r="48">
      <x:c r="A48" s="6" t="s">
        <x:v>272</x:v>
      </x:c>
      <x:c r="B48" s="11" t="n">
        <x:f>$B$11</x:f>
        <x:v>0.1</x:v>
      </x:c>
      <x:c r="C48" s="22" t="n">
        <x:f>1</x:f>
        <x:v>1</x:v>
      </x:c>
      <x:c r="D48" s="22" t="n">
        <x:f>$B$42</x:f>
        <x:v>500</x:v>
      </x:c>
      <x:c r="E48" s="22" t="n">
        <x:f>$C$42</x:f>
        <x:v>200</x:v>
      </x:c>
      <x:c r="F48" s="22" t="n">
        <x:f>0</x:f>
        <x:v>0</x:v>
      </x:c>
      <x:c r="G48" s="22" t="n">
        <x:f>0</x:f>
        <x:v>0</x:v>
      </x:c>
    </x:row>
    <x:row r="49">
      <x:c r="A49" s="6" t="s">
        <x:v>281</x:v>
      </x:c>
      <x:c r="B49" s="11" t="n">
        <x:f>(1-$B$10-$B$11)*$B$12</x:f>
        <x:v>0.35000000000000003</x:v>
      </x:c>
      <x:c r="C49" s="22" t="n">
        <x:f>3+$B$16+$B$15</x:f>
        <x:v>3.5999999999999996</x:v>
      </x:c>
      <x:c r="D49" s="22" t="n">
        <x:f>$B$35+$B$36+$B$40+$B$16*$B$37+$B$15*$B$39</x:f>
        <x:v>5773</x:v>
      </x:c>
      <x:c r="E49" s="22" t="n">
        <x:f>$C$35+$C$36+$C$40+$B$16*$C$37+$B$15*$C$39</x:f>
        <x:v>2630</x:v>
      </x:c>
      <x:c r="F49" s="22" t="n">
        <x:f>0</x:f>
        <x:v>0</x:v>
      </x:c>
      <x:c r="G49" s="22" t="n">
        <x:f>0</x:f>
        <x:v>0</x:v>
      </x:c>
    </x:row>
    <x:row r="50">
      <x:c r="A50" s="6" t="s">
        <x:v>282</x:v>
      </x:c>
      <x:c r="B50" s="11" t="n">
        <x:f>(1-$B$10-$B$11)*$B$13</x:f>
        <x:v>0.17500000000000002</x:v>
      </x:c>
      <x:c r="C50" s="22" t="n">
        <x:f>1+2*$B$19+$B$20</x:f>
        <x:v>1.3</x:v>
      </x:c>
      <x:c r="D50" s="22" t="n">
        <x:f>$B$41+$B$22+G50*$B$38+$B$20*$B$40</x:f>
        <x:v>7170</x:v>
      </x:c>
      <x:c r="E50" s="22" t="n">
        <x:f>$C$41+G50*$C$38+$B$20*$C$40</x:f>
        <x:v>1940</x:v>
      </x:c>
      <x:c r="F50" s="22" t="n">
        <x:f>1</x:f>
        <x:v>1</x:v>
      </x:c>
      <x:c r="G50" s="22" t="n">
        <x:f>2*$B$19</x:f>
        <x:v>0.2</x:v>
      </x:c>
    </x:row>
    <x:row r="51">
      <x:c r="A51" s="6" t="s">
        <x:v>283</x:v>
      </x:c>
      <x:c r="B51" s="11" t="n">
        <x:f>(1-$B$10-$B$11)*$B$14</x:f>
        <x:v>0.17500000000000002</x:v>
      </x:c>
      <x:c r="C51" s="22" t="n">
        <x:f>3+$B$16+$B$17*(1+$B$18)+$B$15</x:f>
        <x:v>9.600000000000001</x:v>
      </x:c>
      <x:c r="D51" s="22" t="n">
        <x:f>$B$35+$B$36+$B$40+$B$16*$B$37+$B$17*($B$41+$B$22)+G51*$B$38+$B$15*$B$39</x:f>
        <x:v>53323</x:v>
      </x:c>
      <x:c r="E51" s="22" t="n">
        <x:f>$C$35+$C$36+$C$40+$B$16*$C$37+$B$17*$C$41+G51*$C$38+$B$15*$C$39</x:f>
        <x:v>10730</x:v>
      </x:c>
      <x:c r="F51" s="22" t="n">
        <x:f>$B$17</x:f>
        <x:v>3</x:v>
      </x:c>
      <x:c r="G51" s="22" t="n">
        <x:f>$B$17*$B$18</x:f>
        <x:v>3</x:v>
      </x:c>
    </x:row>
    <x:row r="52">
      <x:c r="A52" s="26" t="s">
        <x:v>284</x:v>
      </x:c>
      <x:c r="B52" s="32" t="n">
        <x:f>SUM(B47:B51)</x:f>
        <x:v>1.0000000000000002</x:v>
      </x:c>
      <x:c r="C52" s="26" t="str">
        <x:f>IF(ABS(B52-1)&lt;0.000001,"OK","Fix route shares")</x:f>
        <x:v>OK</x:v>
      </x:c>
    </x:row>
    <x:row r="53">
      <x:c r="A53" s="12" t="s">
        <x:v>285</x:v>
      </x:c>
      <x:c r="B53" s="33" t="n">
        <x:f>B52</x:f>
        <x:v>1.0000000000000002</x:v>
      </x:c>
      <x:c r="C53" s="34" t="n">
        <x:f>SUMPRODUCT($B$47:$B$51,C47:C51)*(1+$B$21)</x:f>
        <x:v>3.430875000000001</x:v>
      </x:c>
      <x:c r="D53" s="34" t="n">
        <x:f>SUMPRODUCT($B$47:$B$51,D47:D51)*(1+$B$21)</x:f>
        <x:v>13289.666250000002</x:v>
      </x:c>
      <x:c r="E53" s="34" t="n">
        <x:f>SUMPRODUCT($B$47:$B$51,E47:E51)*(1+$B$21)</x:f>
        <x:v>3315.6375000000007</x:v>
      </x:c>
      <x:c r="F53" s="34" t="n">
        <x:f>SUMPRODUCT($B$47:$B$51,F47:F51)*(1+$B$21)</x:f>
        <x:v>0.7350000000000001</x:v>
      </x:c>
      <x:c r="G53" s="34" t="n">
        <x:f>SUMPRODUCT($B$47:$B$51,G47:G51)*(1+$B$21)</x:f>
        <x:v>0.5880000000000001</x:v>
      </x:c>
    </x:row>
    <x:row r="55">
      <x:c r="A55" s="3" t="s">
        <x:v>286</x:v>
      </x:c>
      <x:c r="B55" s="4"/>
      <x:c r="C55" s="4"/>
    </x:row>
    <x:row r="56">
      <x:c r="A56" s="5" t="s">
        <x:v>287</x:v>
      </x:c>
      <x:c r="B56" s="5" t="s">
        <x:v>4</x:v>
      </x:c>
      <x:c r="C56" s="5" t="s">
        <x:v>288</x:v>
      </x:c>
    </x:row>
    <x:row r="57" ht="24">
      <x:c r="A57" s="6" t="s">
        <x:v>289</x:v>
      </x:c>
      <x:c r="B57" s="35" t="n">
        <x:f>$B$7*$B$8+$B$9</x:f>
        <x:v>8</x:v>
      </x:c>
      <x:c r="C57" s="23" t="s">
        <x:v>290</x:v>
      </x:c>
    </x:row>
    <x:row r="58">
      <x:c r="A58" s="6" t="s">
        <x:v>291</x:v>
      </x:c>
      <x:c r="B58" s="35" t="n">
        <x:f>$B$6*B57</x:f>
        <x:v>800</x:v>
      </x:c>
      <x:c r="C58" s="23" t="s">
        <x:v>292</x:v>
      </x:c>
    </x:row>
    <x:row r="59" ht="24">
      <x:c r="A59" s="6" t="s">
        <x:v>277</x:v>
      </x:c>
      <x:c r="B59" s="35" t="n">
        <x:f>B58*C53</x:f>
        <x:v>2744.7000000000007</x:v>
      </x:c>
      <x:c r="C59" s="23" t="s">
        <x:v>293</x:v>
      </x:c>
    </x:row>
    <x:row r="60">
      <x:c r="A60" s="6" t="s">
        <x:v>294</x:v>
      </x:c>
      <x:c r="B60" s="35" t="n">
        <x:f>B58*D53</x:f>
        <x:v>10631733.000000002</x:v>
      </x:c>
      <x:c r="C60" s="23"/>
    </x:row>
    <x:row r="61">
      <x:c r="A61" s="6" t="s">
        <x:v>295</x:v>
      </x:c>
      <x:c r="B61" s="35" t="n">
        <x:f>B60*$B$23</x:f>
        <x:v>0</x:v>
      </x:c>
      <x:c r="C61" s="23"/>
    </x:row>
    <x:row r="62">
      <x:c r="A62" s="6" t="s">
        <x:v>296</x:v>
      </x:c>
      <x:c r="B62" s="35" t="n">
        <x:f>B60-B61</x:f>
        <x:v>10631733.000000002</x:v>
      </x:c>
      <x:c r="C62" s="23"/>
    </x:row>
    <x:row r="63">
      <x:c r="A63" s="6" t="s">
        <x:v>297</x:v>
      </x:c>
      <x:c r="B63" s="35" t="n">
        <x:f>B58*E53</x:f>
        <x:v>2652510.0000000005</x:v>
      </x:c>
      <x:c r="C63" s="23"/>
    </x:row>
    <x:row r="64">
      <x:c r="A64" s="6" t="s">
        <x:v>13</x:v>
      </x:c>
      <x:c r="B64" s="35" t="n">
        <x:f>B58*F53</x:f>
        <x:v>588.0000000000001</x:v>
      </x:c>
      <x:c r="C64" s="23"/>
    </x:row>
    <x:row r="65" ht="24">
      <x:c r="A65" s="6" t="s">
        <x:v>279</x:v>
      </x:c>
      <x:c r="B65" s="35" t="n">
        <x:f>B58*G53</x:f>
        <x:v>470.4000000000001</x:v>
      </x:c>
      <x:c r="C65" s="23" t="s">
        <x:v>298</x:v>
      </x:c>
    </x:row>
    <x:row r="66">
      <x:c r="A66" s="6" t="s">
        <x:v>299</x:v>
      </x:c>
      <x:c r="B66" s="10" t="n">
        <x:f>B62/1000000*$B$27+B61/1000000*$B$29</x:f>
        <x:v>1.0631733000000003</x:v>
      </x:c>
      <x:c r="C66" s="23"/>
    </x:row>
    <x:row r="67">
      <x:c r="A67" s="6" t="s">
        <x:v>300</x:v>
      </x:c>
      <x:c r="B67" s="10" t="n">
        <x:f>B63/1000000*$B$28</x:f>
        <x:v>1.3262550000000002</x:v>
      </x:c>
      <x:c r="C67" s="23"/>
    </x:row>
    <x:row r="68">
      <x:c r="A68" s="6" t="s">
        <x:v>301</x:v>
      </x:c>
      <x:c r="B68" s="10" t="n">
        <x:f>B64*$B$30</x:f>
        <x:v>5.880000000000002</x:v>
      </x:c>
      <x:c r="C68" s="23"/>
    </x:row>
    <x:row r="69" ht="24">
      <x:c r="A69" s="12" t="s">
        <x:v>302</x:v>
      </x:c>
      <x:c r="B69" s="13" t="n">
        <x:f>SUM(B66:B68)</x:f>
        <x:v>8.269428300000001</x:v>
      </x:c>
      <x:c r="C69" s="23" t="s">
        <x:v>303</x:v>
      </x:c>
    </x:row>
    <x:row r="70">
      <x:c r="A70" s="6" t="s">
        <x:v>304</x:v>
      </x:c>
      <x:c r="B70" s="10" t="n">
        <x:f>B69*12</x:f>
        <x:v>99.23313960000002</x:v>
      </x:c>
      <x:c r="C70" s="23"/>
    </x:row>
    <x:row r="71">
      <x:c r="A71" s="6" t="s">
        <x:v>305</x:v>
      </x:c>
      <x:c r="B71" s="36" t="n">
        <x:f>IF($B$6&gt;0,B69/$B$6,0)</x:f>
        <x:v>0.08269428300000001</x:v>
      </x:c>
      <x:c r="C71" s="23"/>
    </x:row>
    <x:row r="72">
      <x:c r="A72" s="6" t="s">
        <x:v>306</x:v>
      </x:c>
      <x:c r="B72" s="36" t="n">
        <x:f>IF(B58&gt;0,B69/B58,0)</x:f>
        <x:v>0.010336785375000001</x:v>
      </x:c>
      <x:c r="C72" s="23"/>
    </x:row>
    <x:row r="73" ht="36">
      <x:c r="A73" s="12" t="s">
        <x:v>307</x:v>
      </x:c>
      <x:c r="B73" s="13" t="n">
        <x:f>B69*$B$31</x:f>
        <x:v>16.538856600000003</x:v>
      </x:c>
      <x:c r="C73" s="23" t="s">
        <x:v>308</x:v>
      </x:c>
    </x:row>
    <x:row r="76">
      <x:c r="A76" s="15" t="s">
        <x:v>43</x:v>
      </x:c>
    </x:row>
    <x:row r="77">
      <x:c r="A77" s="16" t="s">
        <x:v>44</x:v>
      </x:c>
      <x:c r="B77" s="17" t="s">
        <x:v>45</x:v>
      </x:c>
    </x:row>
    <x:row r="78">
      <x:c r="A78" s="8" t="s">
        <x:v>46</x:v>
      </x:c>
      <x:c r="B78" s="17" t="s">
        <x:v>47</x:v>
      </x:c>
    </x:row>
    <x:row r="79">
      <x:c r="A79" s="18" t="s">
        <x:v>48</x:v>
      </x:c>
      <x:c r="B79" s="17" t="s">
        <x:v>49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customWidth="1"/>
    <x:col min="2" max="2" width="7" customWidth="1"/>
    <x:col min="3" max="3" width="70" customWidth="1"/>
    <x:col min="4" max="4" width="42" customWidth="1"/>
    <x:col min="5" max="5" width="46" customWidth="1"/>
  </x:cols>
  <x:sheetData>
    <x:row r="1" ht="18">
      <x:c r="A1" s="1" t="s">
        <x:v>309</x:v>
      </x:c>
    </x:row>
    <x:row r="2">
      <x:c r="A2" s="2" t="s">
        <x:v>310</x:v>
      </x:c>
    </x:row>
    <x:row r="4">
      <x:c r="A4" s="5" t="s">
        <x:v>311</x:v>
      </x:c>
      <x:c r="B4" s="5" t="s">
        <x:v>312</x:v>
      </x:c>
      <x:c r="C4" s="5" t="s">
        <x:v>313</x:v>
      </x:c>
      <x:c r="D4" s="5" t="s">
        <x:v>314</x:v>
      </x:c>
      <x:c r="E4" s="5" t="s">
        <x:v>288</x:v>
      </x:c>
    </x:row>
    <x:row r="5" ht="25.5">
      <x:c r="A5" s="26" t="s">
        <x:v>315</x:v>
      </x:c>
      <x:c r="B5" s="37">
        <x:v>1</x:v>
      </x:c>
      <x:c r="C5" s="20" t="s">
        <x:v>316</x:v>
      </x:c>
      <x:c r="D5" s="20" t="s">
        <x:v>317</x:v>
      </x:c>
      <x:c r="E5" s="23" t="s">
        <x:v>318</x:v>
      </x:c>
    </x:row>
    <x:row r="6" ht="25.5">
      <x:c r="A6" s="26" t="s">
        <x:v>315</x:v>
      </x:c>
      <x:c r="B6" s="37">
        <x:v>2</x:v>
      </x:c>
      <x:c r="C6" s="20" t="s">
        <x:v>319</x:v>
      </x:c>
      <x:c r="D6" s="20" t="s">
        <x:v>320</x:v>
      </x:c>
      <x:c r="E6" s="23" t="s">
        <x:v>321</x:v>
      </x:c>
    </x:row>
    <x:row r="7" ht="25.5">
      <x:c r="A7" s="26" t="s">
        <x:v>315</x:v>
      </x:c>
      <x:c r="B7" s="37">
        <x:v>3</x:v>
      </x:c>
      <x:c r="C7" s="20" t="s">
        <x:v>322</x:v>
      </x:c>
      <x:c r="D7" s="20" t="s">
        <x:v>323</x:v>
      </x:c>
      <x:c r="E7" s="23" t="s">
        <x:v>324</x:v>
      </x:c>
    </x:row>
    <x:row r="8" ht="25.5">
      <x:c r="A8" s="26" t="s">
        <x:v>315</x:v>
      </x:c>
      <x:c r="B8" s="37">
        <x:v>4</x:v>
      </x:c>
      <x:c r="C8" s="20" t="s">
        <x:v>325</x:v>
      </x:c>
      <x:c r="D8" s="20" t="s">
        <x:v>326</x:v>
      </x:c>
      <x:c r="E8" s="23" t="s">
        <x:v>327</x:v>
      </x:c>
    </x:row>
    <x:row r="9" ht="25.5">
      <x:c r="A9" s="26" t="s">
        <x:v>328</x:v>
      </x:c>
      <x:c r="B9" s="37">
        <x:v>1</x:v>
      </x:c>
      <x:c r="C9" s="20" t="s">
        <x:v>329</x:v>
      </x:c>
      <x:c r="D9" s="20" t="s">
        <x:v>330</x:v>
      </x:c>
      <x:c r="E9" s="23" t="s">
        <x:v>331</x:v>
      </x:c>
    </x:row>
    <x:row r="10" ht="38.25">
      <x:c r="A10" s="26" t="s">
        <x:v>328</x:v>
      </x:c>
      <x:c r="B10" s="37">
        <x:v>2</x:v>
      </x:c>
      <x:c r="C10" s="20" t="s">
        <x:v>332</x:v>
      </x:c>
      <x:c r="D10" s="20" t="s">
        <x:v>333</x:v>
      </x:c>
      <x:c r="E10" s="23" t="s">
        <x:v>334</x:v>
      </x:c>
    </x:row>
    <x:row r="11" ht="25.5">
      <x:c r="A11" s="26" t="s">
        <x:v>335</x:v>
      </x:c>
      <x:c r="B11" s="37">
        <x:v>1</x:v>
      </x:c>
      <x:c r="C11" s="20" t="s">
        <x:v>336</x:v>
      </x:c>
      <x:c r="D11" s="20" t="s">
        <x:v>337</x:v>
      </x:c>
      <x:c r="E11" s="23" t="s">
        <x:v>338</x:v>
      </x:c>
    </x:row>
    <x:row r="12" ht="25.5">
      <x:c r="A12" s="26" t="s">
        <x:v>335</x:v>
      </x:c>
      <x:c r="B12" s="37">
        <x:v>2</x:v>
      </x:c>
      <x:c r="C12" s="20" t="s">
        <x:v>339</x:v>
      </x:c>
      <x:c r="D12" s="20" t="s">
        <x:v>340</x:v>
      </x:c>
      <x:c r="E12" s="23"/>
    </x:row>
    <x:row r="13" ht="36">
      <x:c r="A13" s="26" t="s">
        <x:v>335</x:v>
      </x:c>
      <x:c r="B13" s="37">
        <x:v>3</x:v>
      </x:c>
      <x:c r="C13" s="20" t="s">
        <x:v>341</x:v>
      </x:c>
      <x:c r="D13" s="20" t="s">
        <x:v>342</x:v>
      </x:c>
      <x:c r="E13" s="23" t="s">
        <x:v>343</x:v>
      </x:c>
    </x:row>
    <x:row r="14" ht="38.25">
      <x:c r="A14" s="26" t="s">
        <x:v>344</x:v>
      </x:c>
      <x:c r="B14" s="37">
        <x:v>1</x:v>
      </x:c>
      <x:c r="C14" s="20" t="s">
        <x:v>345</x:v>
      </x:c>
      <x:c r="D14" s="20" t="s">
        <x:v>346</x:v>
      </x:c>
      <x:c r="E14" s="23" t="s">
        <x:v>347</x:v>
      </x:c>
    </x:row>
    <x:row r="15" ht="25.5">
      <x:c r="A15" s="26" t="s">
        <x:v>344</x:v>
      </x:c>
      <x:c r="B15" s="37">
        <x:v>2</x:v>
      </x:c>
      <x:c r="C15" s="20" t="s">
        <x:v>348</x:v>
      </x:c>
      <x:c r="D15" s="20" t="s">
        <x:v>349</x:v>
      </x:c>
      <x:c r="E15" s="23" t="s">
        <x:v>350</x:v>
      </x:c>
    </x:row>
    <x:row r="16" ht="25.5">
      <x:c r="A16" s="26" t="s">
        <x:v>351</x:v>
      </x:c>
      <x:c r="B16" s="37">
        <x:v>1</x:v>
      </x:c>
      <x:c r="C16" s="20" t="s">
        <x:v>352</x:v>
      </x:c>
      <x:c r="D16" s="20" t="s">
        <x:v>353</x:v>
      </x:c>
      <x:c r="E16" s="23" t="s">
        <x:v>354</x:v>
      </x:c>
    </x:row>
    <x:row r="17" ht="38.25">
      <x:c r="A17" s="26" t="s">
        <x:v>355</x:v>
      </x:c>
      <x:c r="B17" s="37">
        <x:v>1</x:v>
      </x:c>
      <x:c r="C17" s="20" t="s">
        <x:v>356</x:v>
      </x:c>
      <x:c r="D17" s="20" t="s">
        <x:v>357</x:v>
      </x:c>
      <x:c r="E17" s="23" t="s">
        <x:v>358</x:v>
      </x:c>
    </x:row>
    <x:row r="18" ht="25.5">
      <x:c r="A18" s="26" t="s">
        <x:v>359</x:v>
      </x:c>
      <x:c r="B18" s="37">
        <x:v>1</x:v>
      </x:c>
      <x:c r="C18" s="20" t="s">
        <x:v>360</x:v>
      </x:c>
      <x:c r="D18" s="20" t="s">
        <x:v>361</x:v>
      </x:c>
      <x:c r="E18" s="23" t="s">
        <x:v>362</x:v>
      </x:c>
    </x:row>
    <x:row r="19" ht="25.5">
      <x:c r="A19" s="26" t="s">
        <x:v>359</x:v>
      </x:c>
      <x:c r="B19" s="37">
        <x:v>2</x:v>
      </x:c>
      <x:c r="C19" s="20" t="s">
        <x:v>363</x:v>
      </x:c>
      <x:c r="D19" s="20" t="s">
        <x:v>364</x:v>
      </x:c>
      <x:c r="E19" s="23" t="s">
        <x:v>365</x:v>
      </x:c>
    </x:row>
    <x:row r="20" ht="51">
      <x:c r="A20" s="26" t="s">
        <x:v>359</x:v>
      </x:c>
      <x:c r="B20" s="37">
        <x:v>3</x:v>
      </x:c>
      <x:c r="C20" s="20" t="s">
        <x:v>366</x:v>
      </x:c>
      <x:c r="D20" s="20" t="s">
        <x:v>367</x:v>
      </x:c>
      <x:c r="E20" s="23" t="s">
        <x:v>368</x:v>
      </x:c>
    </x:row>
    <x:row r="21" ht="25.5">
      <x:c r="A21" s="26" t="s">
        <x:v>359</x:v>
      </x:c>
      <x:c r="B21" s="37">
        <x:v>4</x:v>
      </x:c>
      <x:c r="C21" s="20" t="str">
        <x:v>Install the CloudWatch agent to ship container logs and memory/disk metrics; create the log group as Infrequent Access and set 30-day retention.</x:v>
      </x:c>
      <x:c r="D21" s="20" t="str">
        <x:v>CloudWatch agent; CloudWatch &gt; Log groups</x:v>
      </x:c>
      <x:c r="E21" s="23" t="str">
        <x:v>Infrequent Access costs less to ingest but has fewer features than Standard; choose the class when creating the log group and confirm the needed log-access features first.</x:v>
      </x:c>
    </x:row>
    <x:row r="22" ht="25.5">
      <x:c r="A22" s="26" t="s">
        <x:v>369</x:v>
      </x:c>
      <x:c r="B22" s="37">
        <x:v>1</x:v>
      </x:c>
      <x:c r="C22" s="20" t="s">
        <x:v>370</x:v>
      </x:c>
      <x:c r="D22" s="20" t="s">
        <x:v>371</x:v>
      </x:c>
      <x:c r="E22" s="23" t="s">
        <x:v>372</x:v>
      </x:c>
    </x:row>
    <x:row r="23" ht="25.5">
      <x:c r="A23" s="26" t="s">
        <x:v>373</x:v>
      </x:c>
      <x:c r="B23" s="37">
        <x:v>1</x:v>
      </x:c>
      <x:c r="C23" s="20" t="s">
        <x:v>374</x:v>
      </x:c>
      <x:c r="D23" s="20" t="s">
        <x:v>375</x:v>
      </x:c>
      <x:c r="E23" s="23"/>
    </x:row>
    <x:row r="24" ht="25.5">
      <x:c r="A24" s="26" t="s">
        <x:v>373</x:v>
      </x:c>
      <x:c r="B24" s="37">
        <x:v>2</x:v>
      </x:c>
      <x:c r="C24" s="20" t="s">
        <x:v>376</x:v>
      </x:c>
      <x:c r="D24" s="20" t="s">
        <x:v>377</x:v>
      </x:c>
      <x:c r="E24" s="23" t="s">
        <x:v>378</x:v>
      </x:c>
    </x:row>
    <x:row r="25" ht="25.5">
      <x:c r="A25" s="26" t="s">
        <x:v>373</x:v>
      </x:c>
      <x:c r="B25" s="37">
        <x:v>3</x:v>
      </x:c>
      <x:c r="C25" s="20" t="s">
        <x:v>379</x:v>
      </x:c>
      <x:c r="D25" s="20" t="s">
        <x:v>380</x:v>
      </x:c>
      <x:c r="E25" s="23"/>
    </x:row>
    <x:row r="26" ht="25.5">
      <x:c r="A26" s="26" t="s">
        <x:v>373</x:v>
      </x:c>
      <x:c r="B26" s="37">
        <x:v>4</x:v>
      </x:c>
      <x:c r="C26" s="20" t="s">
        <x:v>381</x:v>
      </x:c>
      <x:c r="D26" s="20" t="s">
        <x:v>382</x:v>
      </x:c>
      <x:c r="E26" s="23" t="s">
        <x:v>383</x:v>
      </x:c>
    </x:row>
    <x:row r="27" ht="25.5">
      <x:c r="A27" s="26" t="s">
        <x:v>384</x:v>
      </x:c>
      <x:c r="B27" s="37">
        <x:v>1</x:v>
      </x:c>
      <x:c r="C27" s="20" t="s">
        <x:v>385</x:v>
      </x:c>
      <x:c r="D27" s="20" t="s">
        <x:v>386</x:v>
      </x:c>
      <x:c r="E27" s="23" t="s">
        <x:v>387</x:v>
      </x:c>
    </x:row>
    <x:row r="28" ht="25.5">
      <x:c r="A28" s="26" t="s">
        <x:v>388</x:v>
      </x:c>
      <x:c r="B28" s="37">
        <x:v>1</x:v>
      </x:c>
      <x:c r="C28" s="20" t="s">
        <x:v>389</x:v>
      </x:c>
      <x:c r="D28" s="20" t="s">
        <x:v>390</x:v>
      </x:c>
      <x:c r="E28" s="23" t="s">
        <x:v>391</x:v>
      </x:c>
    </x:row>
    <x:row r="29">
      <x:c r="A29" s="26" t="s">
        <x:v>392</x:v>
      </x:c>
      <x:c r="B29" s="37">
        <x:v>1</x:v>
      </x:c>
      <x:c r="C29" s="20" t="s">
        <x:v>393</x:v>
      </x:c>
      <x:c r="D29" s="20" t="s">
        <x:v>394</x:v>
      </x:c>
      <x:c r="E29" s="23" t="s">
        <x:v>395</x:v>
      </x:c>
    </x:row>
    <x:row r="30" ht="25.5">
      <x:c r="A30" s="26" t="s">
        <x:v>396</x:v>
      </x:c>
      <x:c r="B30" s="37">
        <x:v>1</x:v>
      </x:c>
      <x:c r="C30" s="20" t="s">
        <x:v>397</x:v>
      </x:c>
      <x:c r="D30" s="20" t="s">
        <x:v>398</x:v>
      </x:c>
      <x:c r="E30" s="23" t="s">
        <x:v>399</x:v>
      </x:c>
    </x:row>
    <x:row r="31" ht="25.5">
      <x:c r="A31" s="26" t="s">
        <x:v>396</x:v>
      </x:c>
      <x:c r="B31" s="37">
        <x:v>2</x:v>
      </x:c>
      <x:c r="C31" s="20" t="s">
        <x:v>400</x:v>
      </x:c>
      <x:c r="D31" s="20" t="s">
        <x:v>401</x:v>
      </x:c>
      <x:c r="E31" s="23" t="s">
        <x:v>402</x:v>
      </x:c>
    </x:row>
    <x:row r="32" ht="25.5">
      <x:c r="A32" s="26" t="s">
        <x:v>396</x:v>
      </x:c>
      <x:c r="B32" s="37">
        <x:v>3</x:v>
      </x:c>
      <x:c r="C32" s="20" t="s">
        <x:v>403</x:v>
      </x:c>
      <x:c r="D32" s="20" t="s">
        <x:v>404</x:v>
      </x:c>
      <x:c r="E32" s="23" t="s">
        <x:v>405</x:v>
      </x:c>
    </x:row>
    <x:row r="33" ht="25.5">
      <x:c r="A33" s="26" t="s">
        <x:v>406</x:v>
      </x:c>
      <x:c r="B33" s="37">
        <x:v>1</x:v>
      </x:c>
      <x:c r="C33" s="20" t="s">
        <x:v>407</x:v>
      </x:c>
      <x:c r="D33" s="20" t="s">
        <x:v>408</x:v>
      </x:c>
      <x:c r="E33" s="23" t="s">
        <x:v>409</x:v>
      </x:c>
    </x:row>
    <x:row r="34" ht="25.5">
      <x:c r="A34" s="26" t="s">
        <x:v>406</x:v>
      </x:c>
      <x:c r="B34" s="37">
        <x:v>2</x:v>
      </x:c>
      <x:c r="C34" s="20" t="s">
        <x:v>410</x:v>
      </x:c>
      <x:c r="D34" s="20" t="s">
        <x:v>411</x:v>
      </x:c>
      <x:c r="E34" s="23" t="s">
        <x:v>412</x:v>
      </x:c>
    </x:row>
    <x:row r="35" ht="25.5">
      <x:c r="A35" s="26" t="s">
        <x:v>406</x:v>
      </x:c>
      <x:c r="B35" s="37">
        <x:v>3</x:v>
      </x:c>
      <x:c r="C35" s="20" t="s">
        <x:v>413</x:v>
      </x:c>
      <x:c r="D35" s="20" t="s">
        <x:v>414</x:v>
      </x:c>
      <x:c r="E35" s="23" t="s">
        <x:v>415</x:v>
      </x:c>
    </x:row>
    <x:row r="36" ht="25.5">
      <x:c r="A36" s="26" t="s">
        <x:v>416</x:v>
      </x:c>
      <x:c r="B36" s="37">
        <x:v>1</x:v>
      </x:c>
      <x:c r="C36" s="20" t="s">
        <x:v>417</x:v>
      </x:c>
      <x:c r="D36" s="20" t="s">
        <x:v>418</x:v>
      </x:c>
      <x:c r="E36" s="23" t="s">
        <x:v>419</x:v>
      </x:c>
    </x:row>
    <x:row r="37" ht="25.5">
      <x:c r="A37" s="26" t="s">
        <x:v>416</x:v>
      </x:c>
      <x:c r="B37" s="37">
        <x:v>2</x:v>
      </x:c>
      <x:c r="C37" s="20" t="s">
        <x:v>420</x:v>
      </x:c>
      <x:c r="D37" s="20" t="s">
        <x:v>421</x:v>
      </x:c>
      <x:c r="E37" s="23" t="s">
        <x:v>422</x:v>
      </x:c>
    </x:row>
    <x:row r="38" ht="25.5">
      <x:c r="A38" s="26" t="s">
        <x:v>416</x:v>
      </x:c>
      <x:c r="B38" s="37">
        <x:v>3</x:v>
      </x:c>
      <x:c r="C38" s="20" t="s">
        <x:v>423</x:v>
      </x:c>
      <x:c r="D38" s="20" t="s">
        <x:v>424</x:v>
      </x:c>
      <x:c r="E38" s="23" t="s">
        <x:v>425</x:v>
      </x:c>
    </x:row>
    <x:row r="39" ht="25.5">
      <x:c r="A39" s="26" t="s">
        <x:v>416</x:v>
      </x:c>
      <x:c r="B39" s="37">
        <x:v>4</x:v>
      </x:c>
      <x:c r="C39" s="20" t="s">
        <x:v>426</x:v>
      </x:c>
      <x:c r="D39" s="20" t="s">
        <x:v>427</x:v>
      </x:c>
      <x:c r="E39" s="23" t="s">
        <x:v>428</x:v>
      </x:c>
    </x:row>
    <x:row r="40" ht="38.25">
      <x:c r="A40" s="26" t="s">
        <x:v>416</x:v>
      </x:c>
      <x:c r="B40" s="37">
        <x:v>5</x:v>
      </x:c>
      <x:c r="C40" s="20" t="s">
        <x:v>429</x:v>
      </x:c>
      <x:c r="D40" s="20" t="s">
        <x:v>430</x:v>
      </x:c>
      <x:c r="E40" s="23" t="s">
        <x:v>431</x:v>
      </x:c>
    </x:row>
    <x:row r="41" ht="25.5">
      <x:c r="A41" s="26" t="s">
        <x:v>416</x:v>
      </x:c>
      <x:c r="B41" s="37">
        <x:v>6</x:v>
      </x:c>
      <x:c r="C41" s="20" t="s">
        <x:v>432</x:v>
      </x:c>
      <x:c r="D41" s="20" t="s">
        <x:v>433</x:v>
      </x:c>
      <x:c r="E41" s="23"/>
    </x:row>
    <x:row r="42" ht="25.5">
      <x:c r="A42" s="26" t="s">
        <x:v>434</x:v>
      </x:c>
      <x:c r="B42" s="37">
        <x:v>1</x:v>
      </x:c>
      <x:c r="C42" s="20" t="s">
        <x:v>435</x:v>
      </x:c>
      <x:c r="D42" s="20" t="s">
        <x:v>436</x:v>
      </x:c>
      <x:c r="E42" s="23" t="s">
        <x:v>437</x:v>
      </x:c>
    </x:row>
    <x:row r="43" ht="25.5">
      <x:c r="A43" s="26" t="s">
        <x:v>434</x:v>
      </x:c>
      <x:c r="B43" s="37">
        <x:v>2</x:v>
      </x:c>
      <x:c r="C43" s="20" t="s">
        <x:v>438</x:v>
      </x:c>
      <x:c r="D43" s="20" t="s">
        <x:v>439</x:v>
      </x:c>
      <x:c r="E43" s="23" t="s">
        <x:v>440</x:v>
      </x:c>
    </x:row>
    <x:row r="44" ht="25.5">
      <x:c r="A44" s="26" t="s">
        <x:v>434</x:v>
      </x:c>
      <x:c r="B44" s="37">
        <x:v>3</x:v>
      </x:c>
      <x:c r="C44" s="20" t="s">
        <x:v>441</x:v>
      </x:c>
      <x:c r="D44" s="20" t="s">
        <x:v>442</x:v>
      </x:c>
      <x:c r="E44" s="23"/>
    </x:row>
    <x:row r="45" ht="38.25">
      <x:c r="A45" s="26" t="s">
        <x:v>434</x:v>
      </x:c>
      <x:c r="B45" s="37">
        <x:v>4</x:v>
      </x:c>
      <x:c r="C45" s="20" t="s">
        <x:v>443</x:v>
      </x:c>
      <x:c r="D45" s="20" t="s">
        <x:v>444</x:v>
      </x:c>
      <x:c r="E45" s="23" t="s">
        <x:v>445</x:v>
      </x:c>
    </x:row>
    <x:row r="46" ht="25.5">
      <x:c r="A46" s="26" t="s">
        <x:v>446</x:v>
      </x:c>
      <x:c r="B46" s="37">
        <x:v>1</x:v>
      </x:c>
      <x:c r="C46" s="20" t="s">
        <x:v>447</x:v>
      </x:c>
      <x:c r="D46" s="20" t="s">
        <x:v>448</x:v>
      </x:c>
      <x:c r="E46" s="23" t="s">
        <x:v>449</x:v>
      </x:c>
    </x:row>
    <x:row r="48">
      <x:c r="A48" s="38" t="s">
        <x:v>450</x:v>
      </x:c>
    </x:row>
    <x:row r="49">
      <x:c r="A49" s="39" t="s">
        <x:v>451</x:v>
      </x:c>
    </x:row>
    <x:row r="50">
      <x:c r="A50" s="39" t="s">
        <x:v>452</x:v>
      </x:c>
    </x:row>
    <x:row r="51">
      <x:c r="A51" s="39" t="s">
        <x:v>453</x:v>
      </x:c>
    </x:row>
  </x:sheetData>
  <x:pageMargins left="0.7" right="0.7" top="0.75" bottom="0.75" header="0.3" footer="0.3"/>
</x:worksheet>
</file>