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mc:AlternateContent xmlns:mc="http://schemas.openxmlformats.org/markup-compatibility/2006">
    <mc:Choice Requires="x15">
      <x15ac:absPath xmlns:x15ac="http://schemas.microsoft.com/office/spreadsheetml/2010/11/ac" url="https://cubesimple-my.sharepoint.com/personal/kishore_p_cubesimple_com/Documents/"/>
    </mc:Choice>
  </mc:AlternateContent>
  <xr:revisionPtr revIDLastSave="11" documentId="8_{6C9415B8-6E3C-4603-AB49-776482D34703}" xr6:coauthVersionLast="47" xr6:coauthVersionMax="47" xr10:uidLastSave="{2A59F2E0-79AC-49DA-B313-37709F40A347}"/>
  <bookViews>
    <workbookView xWindow="-120" yWindow="-120" windowWidth="20730" windowHeight="11040" tabRatio="717" xr2:uid="{00000000-000D-0000-FFFF-FFFF00000000}"/>
  </bookViews>
  <sheets>
    <sheet name="Overview" sheetId="1" r:id="rId1"/>
    <sheet name="Account Setup Checklist" sheetId="2" r:id="rId2"/>
    <sheet name="Payment Methods" sheetId="3" r:id="rId3"/>
    <sheet name="PayPal Fee Schedule" sheetId="4" r:id="rId4"/>
    <sheet name="Cost per Plan" sheetId="5" r:id="rId5"/>
    <sheet name="Risks &amp; Mitigation" sheetId="6" state="hidden" r:id="rId6"/>
    <sheet name="Timeline &amp; Next Steps" sheetId="7" state="hidden" r:id="rId7"/>
    <sheet name="Sources"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5" l="1"/>
  <c r="B17" i="5"/>
  <c r="B16" i="5"/>
  <c r="B14" i="5"/>
  <c r="B13" i="5"/>
  <c r="B12" i="5"/>
  <c r="E18" i="5" l="1"/>
  <c r="E17" i="5"/>
  <c r="E16" i="5"/>
  <c r="F16" i="5" s="1"/>
  <c r="B19" i="1" s="1"/>
  <c r="E14" i="5"/>
  <c r="E13" i="5"/>
  <c r="E12" i="5"/>
  <c r="F12" i="5" s="1"/>
  <c r="B17" i="1" s="1"/>
  <c r="G18" i="5" l="1"/>
  <c r="F18" i="5"/>
  <c r="B18" i="1" s="1"/>
  <c r="G17" i="5"/>
  <c r="F17" i="5"/>
  <c r="G16" i="5"/>
  <c r="G12" i="5"/>
  <c r="G14" i="5"/>
  <c r="F14" i="5"/>
  <c r="B16" i="1" s="1"/>
  <c r="G13" i="5"/>
  <c r="F1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DriveDeal</author>
  </authors>
  <commentList>
    <comment ref="B6" authorId="0" shapeId="0" xr:uid="{00000000-0006-0000-0400-000001000000}">
      <text>
        <r>
          <rPr>
            <sz val="11"/>
            <color theme="1"/>
            <rFont val="Calibri"/>
            <family val="2"/>
            <scheme val="minor"/>
          </rPr>
          <t>Source: DriveDeal pricing (backend settings DEALER_PREMIUM_PRICE).</t>
        </r>
      </text>
    </comment>
  </commentList>
</comments>
</file>

<file path=xl/sharedStrings.xml><?xml version="1.0" encoding="utf-8"?>
<sst xmlns="http://schemas.openxmlformats.org/spreadsheetml/2006/main" count="509" uniqueCount="357">
  <si>
    <t>PayPal Payments Integration - Setup &amp; Cost Guide</t>
  </si>
  <si>
    <t>DriveDeal premium subscriptions (US customers only) | Prepared 13 Oct 2026 | Fee data: PayPal US Merchant Fees, updated 1 Oct 2026</t>
  </si>
  <si>
    <t>Purpose</t>
  </si>
  <si>
    <t>DriveDeal will collect yearly premium subscription payments (Dealer $500/year, Buyer $100/year) through PayPal. This workbook lists what is needed to open and activate the PayPal Business account and why, which payment methods customers can use, the full PayPal cost breakdown, the main financial risks, and the steps to go live.</t>
  </si>
  <si>
    <t>Key points</t>
  </si>
  <si>
    <t>No Stripe needed</t>
  </si>
  <si>
    <t>PayPal alone accepts PayPal wallet, credit cards and debit cards (Visa, Mastercard, Amex, Discover) for US customers.</t>
  </si>
  <si>
    <t>No fixed costs</t>
  </si>
  <si>
    <t>Business account, developer access, testing, API use and the custom card form have no monthly or setup fee. PayPal charges only a % + fixed fee per successful payment.</t>
  </si>
  <si>
    <t>Custom checkout</t>
  </si>
  <si>
    <t>With PayPal's Advanced Credit &amp; Debit Card Payments, the card form is built into DriveDeal's own pages and branding. The PayPal wallet login itself stays on PayPal's screen.</t>
  </si>
  <si>
    <t>Automatic renewal</t>
  </si>
  <si>
    <t>The customer's payment method is saved securely by PayPal (Vault); DriveDeal charges it automatically each year. Card numbers never reach DriveDeal's servers.</t>
  </si>
  <si>
    <t>Cash flow</t>
  </si>
  <si>
    <t>New PayPal accounts typically have incoming payments held for up to 21 days. Customers still get premium immediately; only DriveDeal's withdrawal is delayed.</t>
  </si>
  <si>
    <t>Main risks</t>
  </si>
  <si>
    <t>Customer disputes/chargebacks, fees not returned on refunds, and payment holds/reserves on a new account. See 'Risks &amp; Mitigation'.</t>
  </si>
  <si>
    <t>Headline numbers (linked from 'Cost per Plan')</t>
  </si>
  <si>
    <t>Dealer plan - DriveDeal receives (custom card form)</t>
  </si>
  <si>
    <t>Dealer plan - DriveDeal receives (PayPal wallet)</t>
  </si>
  <si>
    <t>Buyer plan - DriveDeal receives (custom card form)</t>
  </si>
  <si>
    <t>Buyer plan - DriveDeal receives (PayPal wallet)</t>
  </si>
  <si>
    <t>Sheets in this workbook</t>
  </si>
  <si>
    <t>Account Setup Checklist</t>
  </si>
  <si>
    <t>Every detail/document needed to open and activate the account, why PayPal needs it, who provides it, and a status column to track progress.</t>
  </si>
  <si>
    <t>Payment Methods</t>
  </si>
  <si>
    <t>How customers can pay and whether each method supports yearly auto-renewal.</t>
  </si>
  <si>
    <t>PayPal Fee Schedule</t>
  </si>
  <si>
    <t>Every PayPal US fee, one per line, and whether it applies to DriveDeal.</t>
  </si>
  <si>
    <t>Cost per Plan</t>
  </si>
  <si>
    <t>Fee and net amount for each plan and payment method, plus an editable example-year projection.</t>
  </si>
  <si>
    <t>Sources</t>
  </si>
  <si>
    <t>Where every fee and policy figure came from.</t>
  </si>
  <si>
    <t>Legend</t>
  </si>
  <si>
    <t>Blue text, yellow fill</t>
  </si>
  <si>
    <t>Editable input - change it and the totals update.</t>
  </si>
  <si>
    <t>Green text</t>
  </si>
  <si>
    <t>Value linked from another sheet.</t>
  </si>
  <si>
    <t>Status column</t>
  </si>
  <si>
    <t>On 'Account Setup Checklist' and 'Timeline &amp; Next Steps': choose Not started / In progress / Done / Not applicable.</t>
  </si>
  <si>
    <t>Note</t>
  </si>
  <si>
    <t>Fees are PayPal's published US rates as of 1 Oct 2026 and can change. Confirm the rates shown in DriveDeal's PayPal account after approval.</t>
  </si>
  <si>
    <t>What is needed to open, verify and activate the PayPal Business account - and why</t>
  </si>
  <si>
    <t>#</t>
  </si>
  <si>
    <t>Item</t>
  </si>
  <si>
    <t>Details / example</t>
  </si>
  <si>
    <t>Why PayPal (or DriveDeal) needs it</t>
  </si>
  <si>
    <t>Provided by</t>
  </si>
  <si>
    <t>Required?</t>
  </si>
  <si>
    <t>Needed by</t>
  </si>
  <si>
    <t>A. Business information</t>
  </si>
  <si>
    <t>Legal business name</t>
  </si>
  <si>
    <t>Exactly as registered with the state / IRS.</t>
  </si>
  <si>
    <t>Identity and business verification (KYC). Also shown to customers on PayPal receipts.</t>
  </si>
  <si>
    <t>Client</t>
  </si>
  <si>
    <t>Mandatory</t>
  </si>
  <si>
    <t>Account opening</t>
  </si>
  <si>
    <t>Business type</t>
  </si>
  <si>
    <t>Sole proprietor, LLC, partnership or corporation.</t>
  </si>
  <si>
    <t>Decides which verification documents PayPal asks for.</t>
  </si>
  <si>
    <t>EIN (Employer Identification Number)</t>
  </si>
  <si>
    <t>9-digit federal tax ID (IRS letter CP-575). Sole proprietors may use SSN.</t>
  </si>
  <si>
    <t>Business verification and US tax reporting - PayPal issues Form 1099-K for payments received.</t>
  </si>
  <si>
    <t>Registered business address</t>
  </si>
  <si>
    <t>US physical address (no PO box).</t>
  </si>
  <si>
    <t>Verification and regulatory compliance.</t>
  </si>
  <si>
    <t>Business phone (mobile)</t>
  </si>
  <si>
    <t>A mobile number that will be confirmed by SMS.</t>
  </si>
  <si>
    <t>Security codes; PayPal's risk team contact. A confirmed mobile number is one of PayPal's conditions for releasing held funds faster.</t>
  </si>
  <si>
    <t>Business email (login)</t>
  </si>
  <si>
    <t>Shared mailbox recommended, e.g. payments@&lt;company domain&gt;.</t>
  </si>
  <si>
    <t>Account login and all payment, dispute and policy notices. A shared mailbox avoids missed dispute deadlines when staff change.</t>
  </si>
  <si>
    <t>Customer service email &amp; phone</t>
  </si>
  <si>
    <t>Support contact customers can reach.</t>
  </si>
  <si>
    <t>Printed on customers' PayPal receipts. Customers who can reach DriveDeal easily are less likely to file disputes.</t>
  </si>
  <si>
    <t>Business category &amp; description</t>
  </si>
  <si>
    <t>e.g. 'Online vehicle marketplace - annual premium subscriptions for dealers and buyers'.</t>
  </si>
  <si>
    <t>PayPal's risk assessment. A description that does not match what is sold triggers account reviews and holds.</t>
  </si>
  <si>
    <t>Expected sales volume</t>
  </si>
  <si>
    <t>Estimated monthly sales and average payment size (e.g. $100 and $500).</t>
  </si>
  <si>
    <t>Underwriting. Accurate estimates reduce the chance of reserves when sales grow.</t>
  </si>
  <si>
    <t>Website URL</t>
  </si>
  <si>
    <t>Live HTTPS address of the DriveDeal application.</t>
  </si>
  <si>
    <t>PayPal reviews the website, especially for the custom card form approval.</t>
  </si>
  <si>
    <t>Client / Dev team</t>
  </si>
  <si>
    <t>Card form approval</t>
  </si>
  <si>
    <t>B. Owner identity (KYC)</t>
  </si>
  <si>
    <t>Primary owner - legal name, date of birth, home address</t>
  </si>
  <si>
    <t>The person legally responsible for the account.</t>
  </si>
  <si>
    <t>Required by US anti-money-laundering / Know-Your-Customer rules.</t>
  </si>
  <si>
    <t>Primary owner - SSN or ITIN</t>
  </si>
  <si>
    <t>Social Security Number.</t>
  </si>
  <si>
    <t>Identity verification.</t>
  </si>
  <si>
    <t>Beneficial owners (25%+ ownership)</t>
  </si>
  <si>
    <t>Name, date of birth, address and SSN of each person owning 25% or more.</t>
  </si>
  <si>
    <t>Required by US beneficial-ownership rules for companies.</t>
  </si>
  <si>
    <t>If applicable</t>
  </si>
  <si>
    <t>Government photo ID</t>
  </si>
  <si>
    <t>Driver's license or passport.</t>
  </si>
  <si>
    <t>Requested if identity cannot be confirmed automatically.</t>
  </si>
  <si>
    <t>If requested</t>
  </si>
  <si>
    <t>During verification</t>
  </si>
  <si>
    <t>Business registration documents</t>
  </si>
  <si>
    <t>Articles of incorporation / organization, EIN letter.</t>
  </si>
  <si>
    <t>Requested if business details cannot be confirmed automatically.</t>
  </si>
  <si>
    <t>C. Banking</t>
  </si>
  <si>
    <t>US business bank account</t>
  </si>
  <si>
    <t>Bank name, routing number, account number.</t>
  </si>
  <si>
    <t>Where DriveDeal's PayPal balance is withdrawn to (standard transfer is free). A confirmed bank is a condition for faster release of held funds.</t>
  </si>
  <si>
    <t>Before first withdrawal</t>
  </si>
  <si>
    <t>Bank confirmation (micro-deposits)</t>
  </si>
  <si>
    <t>PayPal sends two small deposits; enter the amounts in PayPal.</t>
  </si>
  <si>
    <t>Proves the account belongs to the business. Takes 1-3 business days.</t>
  </si>
  <si>
    <t>D. Website pages (PayPal review)</t>
  </si>
  <si>
    <t>Terms of Service page</t>
  </si>
  <si>
    <t>Rules for using DriveDeal premium.</t>
  </si>
  <si>
    <t>Required by PayPal for approval; used as evidence in disputes.</t>
  </si>
  <si>
    <t>Client (legal) / Dev team</t>
  </si>
  <si>
    <t>Before go-live</t>
  </si>
  <si>
    <t>Privacy Policy page</t>
  </si>
  <si>
    <t>How customer data is handled.</t>
  </si>
  <si>
    <t>Required by PayPal and US privacy law.</t>
  </si>
  <si>
    <t>Refund &amp; Cancellation Policy page</t>
  </si>
  <si>
    <t>e.g. full refund within 14 days of a charge; cancelling stops the next renewal.</t>
  </si>
  <si>
    <t>Required by PayPal. A clear policy reduces disputes.</t>
  </si>
  <si>
    <t>Client (decision) / Dev team</t>
  </si>
  <si>
    <t>Pricing with auto-renewal disclosure</t>
  </si>
  <si>
    <t>'$500/year, renews automatically on &lt;date&gt;, cancel anytime' + checkbox at checkout.</t>
  </si>
  <si>
    <t>Several US states (e.g. California) require clear auto-renewal terms and reminders. Also the main evidence in renewal disputes.</t>
  </si>
  <si>
    <t>Dev team</t>
  </si>
  <si>
    <t>Contact page</t>
  </si>
  <si>
    <t>Support email, phone, business address.</t>
  </si>
  <si>
    <t>Required by PayPal; reduces disputes.</t>
  </si>
  <si>
    <t>E. PayPal features to activate</t>
  </si>
  <si>
    <t>Advanced Credit &amp; Debit Card Payments</t>
  </si>
  <si>
    <t>Requested in PayPal developer dashboard (Live app). PayPal reviews the account; can take several days.</t>
  </si>
  <si>
    <t>Lets customers enter card details on DriveDeal's own branded page, at a lower rate (2.89% + $0.29).</t>
  </si>
  <si>
    <t>Client (account owner)</t>
  </si>
  <si>
    <t>Recommended</t>
  </si>
  <si>
    <t>Vault (saved payment methods)</t>
  </si>
  <si>
    <t>Enabled in the same app settings; may need PayPal approval in Live.</t>
  </si>
  <si>
    <t>Required for automatic yearly renewal - the customer's card/PayPal is saved by PayPal and charged each year.</t>
  </si>
  <si>
    <t>Card statement name (soft descriptor)</t>
  </si>
  <si>
    <t>e.g. 'DRIVEDEAL PREMIUM'.</t>
  </si>
  <si>
    <t>What customers see on their card statement. A recognisable name prevents 'unrecognised charge' chargebacks.</t>
  </si>
  <si>
    <t>Two-step login verification</t>
  </si>
  <si>
    <t>Authenticator app or SMS on the PayPal login.</t>
  </si>
  <si>
    <t>Protects the account and its funds.</t>
  </si>
  <si>
    <t>Team user access</t>
  </si>
  <si>
    <t>Separate PayPal logins with limited roles for staff/developers.</t>
  </si>
  <si>
    <t>Avoids sharing the owner's password; access can be removed when people leave.</t>
  </si>
  <si>
    <t>Before development</t>
  </si>
  <si>
    <t>F. Technical items for the development team</t>
  </si>
  <si>
    <t>Developer dashboard access</t>
  </si>
  <si>
    <t>developer.paypal.com - same login as the Business account.</t>
  </si>
  <si>
    <t>Where API credentials and webhooks are created.</t>
  </si>
  <si>
    <t>Sandbox Client ID &amp; Secret</t>
  </si>
  <si>
    <t>Test credentials - no real money.</t>
  </si>
  <si>
    <t>Build and test the full payment flow safely.</t>
  </si>
  <si>
    <t>Live Client ID &amp; Secret</t>
  </si>
  <si>
    <t>Production credentials.</t>
  </si>
  <si>
    <t>Real payments. Share through a secure channel only - never by email or chat.</t>
  </si>
  <si>
    <t>Go-live</t>
  </si>
  <si>
    <t>Webhook URL &amp; Webhook ID</t>
  </si>
  <si>
    <t>PayPal notification address on DriveDeal's server.</t>
  </si>
  <si>
    <t>PayPal tells DriveDeal about renewals, refunds, failed payments and disputes automatically.</t>
  </si>
  <si>
    <t>Plan prices confirmed</t>
  </si>
  <si>
    <t>Dealer $500/year, Buyer $100/year, USD.</t>
  </si>
  <si>
    <t>Configured in the application and charged on each renewal.</t>
  </si>
  <si>
    <t>Refund policy decision</t>
  </si>
  <si>
    <t>No refunds / refund within N days / prorated.</t>
  </si>
  <si>
    <t>Implemented in the app and admin tools; drives refund and dispute cost.</t>
  </si>
  <si>
    <t>Payment Methods for Customers</t>
  </si>
  <si>
    <t>All processed by PayPal - no Stripe or other processor required</t>
  </si>
  <si>
    <t>Method</t>
  </si>
  <si>
    <t>How the customer pays</t>
  </si>
  <si>
    <t>Yearly auto-renewal?</t>
  </si>
  <si>
    <t>PayPal fee %</t>
  </si>
  <si>
    <t>Fixed fee</t>
  </si>
  <si>
    <t>Recommendation</t>
  </si>
  <si>
    <t>PayPal wallet</t>
  </si>
  <si>
    <t>Clicks the PayPal button, logs into PayPal, pays with balance, bank or saved card.</t>
  </si>
  <si>
    <t>Yes</t>
  </si>
  <si>
    <t>Include - many customers prefer it.</t>
  </si>
  <si>
    <t>Credit / debit card - custom card form</t>
  </si>
  <si>
    <t>Enters card details directly on DriveDeal's branded checkout page (Advanced Credit &amp; Debit Card Payments). No PayPal account needed.</t>
  </si>
  <si>
    <t>Yes (with Vault)</t>
  </si>
  <si>
    <t>Include - lowest fee and fully branded. Needs PayPal approval.</t>
  </si>
  <si>
    <t>Credit / debit card - inside PayPal button</t>
  </si>
  <si>
    <t>Clicks 'Debit or Credit Card' under the PayPal button and pays as a guest in PayPal's panel.</t>
  </si>
  <si>
    <t>Fallback if custom card form approval is pending.</t>
  </si>
  <si>
    <t>PayPal US Fee Schedule</t>
  </si>
  <si>
    <t>Source: PayPal US Merchant Fees, last updated 1 Oct 2026 (see Sources). Rates can change.</t>
  </si>
  <si>
    <t>Category</t>
  </si>
  <si>
    <t>Service / fee</t>
  </si>
  <si>
    <t>Rate %</t>
  </si>
  <si>
    <t>Applies to DriveDeal?</t>
  </si>
  <si>
    <t>Notes</t>
  </si>
  <si>
    <t>Receiving payments</t>
  </si>
  <si>
    <t>PayPal Checkout (PayPal wallet)</t>
  </si>
  <si>
    <t>Charged on every payment, including each yearly renewal.</t>
  </si>
  <si>
    <t>Custom card form on DriveDeal's page. No monthly fee.</t>
  </si>
  <si>
    <t>Standard credit/debit card (in PayPal button)</t>
  </si>
  <si>
    <t>Fallback</t>
  </si>
  <si>
    <t>Guest card payment inside PayPal's button.</t>
  </si>
  <si>
    <t>Surcharges</t>
  </si>
  <si>
    <t>International transaction</t>
  </si>
  <si>
    <t>Rarely</t>
  </si>
  <si>
    <t>Added on top if the customer pays with a non-US card/account.</t>
  </si>
  <si>
    <t>Currency conversion</t>
  </si>
  <si>
    <t>No</t>
  </si>
  <si>
    <t>3-4% spread. Not charged when everything is in USD.</t>
  </si>
  <si>
    <t>Disputes &amp; refunds</t>
  </si>
  <si>
    <t>Dispute fee - standard (PayPal disputes)</t>
  </si>
  <si>
    <t>Per dispute on PayPal-branded payments.</t>
  </si>
  <si>
    <t>Dispute fee - high volume</t>
  </si>
  <si>
    <t>Risk</t>
  </si>
  <si>
    <t>Applies if the account's dispute rate is high.</t>
  </si>
  <si>
    <t>Chargeback fee (card form payments)</t>
  </si>
  <si>
    <t>Per chargeback filed through the customer's bank.</t>
  </si>
  <si>
    <t>Refund</t>
  </si>
  <si>
    <t>Sending a refund is free, but the ORIGINAL fee is not returned.</t>
  </si>
  <si>
    <t>Account &amp; withdrawals</t>
  </si>
  <si>
    <t>Business account, developer account, sandbox</t>
  </si>
  <si>
    <t>Free.</t>
  </si>
  <si>
    <t>API calls, webhooks, Vault, 3-D Secure</t>
  </si>
  <si>
    <t>No separate fee listed - covered by the transaction fee.</t>
  </si>
  <si>
    <t>Monthly fee - Advanced Card Payments</t>
  </si>
  <si>
    <t>No monthly fee.</t>
  </si>
  <si>
    <t>Standard transfer to bank (1-3 days)</t>
  </si>
  <si>
    <t>Instant transfer to bank</t>
  </si>
  <si>
    <t>Optional</t>
  </si>
  <si>
    <t>Minimum $0.50. Avoid by using standard transfer.</t>
  </si>
  <si>
    <t>Payments Pro (legacy)</t>
  </si>
  <si>
    <t>Monthly. Not needed.</t>
  </si>
  <si>
    <t>Payflow Pro (legacy)</t>
  </si>
  <si>
    <t>Invoicing subscription</t>
  </si>
  <si>
    <t>Cost per Plan and Example Year</t>
  </si>
  <si>
    <t>Blue/yellow cells are editable. All other numbers are formulas.</t>
  </si>
  <si>
    <t>Inputs - plan prices (per year, USD)</t>
  </si>
  <si>
    <t>Plan</t>
  </si>
  <si>
    <t>Price</t>
  </si>
  <si>
    <t>Dealer Premium</t>
  </si>
  <si>
    <t>Buyer Premium</t>
  </si>
  <si>
    <t>Fee and amount received per payment (fee rates are inputs - from PayPal Fee Schedule)</t>
  </si>
  <si>
    <t>Plan / payment method</t>
  </si>
  <si>
    <t>PayPal fee</t>
  </si>
  <si>
    <t>DriveDeal receives</t>
  </si>
  <si>
    <t>Effective fee %</t>
  </si>
  <si>
    <t xml:space="preserve">   PayPal wallet</t>
  </si>
  <si>
    <t xml:space="preserve">   Card - inside PayPal button</t>
  </si>
  <si>
    <t xml:space="preserve">   Card - custom card form</t>
  </si>
  <si>
    <t>Financial Risks &amp; Mitigation</t>
  </si>
  <si>
    <t>The three real risks of taking subscription payments through PayPal</t>
  </si>
  <si>
    <t>What it is</t>
  </si>
  <si>
    <t>Where it appears</t>
  </si>
  <si>
    <t>Cost example</t>
  </si>
  <si>
    <t>Likelihood</t>
  </si>
  <si>
    <t>How DriveDeal reduces it</t>
  </si>
  <si>
    <t>Dispute (PayPal)</t>
  </si>
  <si>
    <t>Customer opens a complaint in PayPal (Activity &gt; Report a problem), up to 180 days after payment. Disputed amount is frozen; DriveDeal has ~10 days to respond with evidence. If not settled, PayPal decides.</t>
  </si>
  <si>
    <t>Email to DriveDeal; PayPal dashboard &gt; Activity &gt; Disputes; DriveDeal admin panel (via PayPal webhook - planned).</t>
  </si>
  <si>
    <t>Lost $500 dealer dispute: $500 returned + $17.94 fee kept + $15 dispute fee = $532.94.</t>
  </si>
  <si>
    <t>Medium</t>
  </si>
  <si>
    <t>Renewal reminder emails 30 and 7 days before charging; one-click cancel; clear auto-renewal wording + consent checkbox; stored evidence (consent time, IP, usage, receipts); admin dispute alerts with deadline countdown; refund early rather than let a dispute escalate.</t>
  </si>
  <si>
    <t>Chargeback (card)</t>
  </si>
  <si>
    <t>Customer who paid by card asks their bank to reverse the charge (~120 days). The bank decides; PayPal forwards DriveDeal's evidence.</t>
  </si>
  <si>
    <t>Email; PayPal dashboard &gt; Disputes; DriveDeal admin panel (planned).</t>
  </si>
  <si>
    <t>Lost $500 dealer chargeback: $500 + $14.74 fee kept + $20 chargeback fee = $534.74.</t>
  </si>
  <si>
    <t>Same as above, plus a recognisable card-statement name (e.g. DRIVEDEAL PREMIUM) to prevent 'I don't recognise this charge'.</t>
  </si>
  <si>
    <t>Seller Protection gap</t>
  </si>
  <si>
    <t>PayPal Seller Protection mainly covers shipped physical goods. Online services/subscriptions are generally NOT covered.</t>
  </si>
  <si>
    <t>-</t>
  </si>
  <si>
    <t>Any lost dispute is absorbed by DriveDeal.</t>
  </si>
  <si>
    <t>Certain</t>
  </si>
  <si>
    <t>DriveDeal's own evidence and policies are the protection - see the measures above.</t>
  </si>
  <si>
    <t>Refund fee not returned</t>
  </si>
  <si>
    <t>When DriveDeal refunds a payment, PayPal keeps the original processing fee (even for partial refunds).</t>
  </si>
  <si>
    <t>PayPal dashboard &gt; Activity.</t>
  </si>
  <si>
    <t>Refund of $500 PayPal-wallet payment: $17.94 lost. Refund of $100: $3.98 lost.</t>
  </si>
  <si>
    <t>High</t>
  </si>
  <si>
    <t>Publish a clear refund policy (recommended: full refund within 14 days of a charge). A quick refund (~$18) is far cheaper than a lost dispute (~$535).</t>
  </si>
  <si>
    <t>New-seller payment hold</t>
  </si>
  <si>
    <t>New accounts typically have incoming payments held up to 21 days before they can be withdrawn. Money is not lost - only delayed.</t>
  </si>
  <si>
    <t>PayPal dashboard &gt; Balance shows 'Pending / Payment on hold' with release date.</t>
  </si>
  <si>
    <t>First weeks' revenue unavailable for up to 21 days. Customers are not affected - premium activates immediately.</t>
  </si>
  <si>
    <t>High (first weeks)</t>
  </si>
  <si>
    <t>Verify account fully before launch (EIN, ID, bank, mobile); mark held payments as delivered to speed release; request a monthly release limit; plan cash flow for the first month.</t>
  </si>
  <si>
    <t>Rolling / fixed reserve</t>
  </si>
  <si>
    <t>PayPal holds back part of sales (e.g. 10% for 90 days) if it sees higher risk: high-priced prepaid yearly service, sudden sales spikes, many disputes.</t>
  </si>
  <si>
    <t>PayPal notification + dashboard &gt; Balance.</t>
  </si>
  <si>
    <t>10% rolling reserve on $500: $450 available now, $50 after 90 days.</t>
  </si>
  <si>
    <t>Low-Medium</t>
  </si>
  <si>
    <t>Accurate business description and volume estimates; grow gradually; tell PayPal in advance about large launches; keep disputes under 1%.</t>
  </si>
  <si>
    <t>Account limitation</t>
  </si>
  <si>
    <t>PayPal restricts withdrawals (sometimes receiving) until documents are provided.</t>
  </si>
  <si>
    <t>PayPal email + dashboard banner.</t>
  </si>
  <si>
    <t>Funds frozen for days to weeks.</t>
  </si>
  <si>
    <t>Low</t>
  </si>
  <si>
    <t>Full verification up front; live website with Terms, Privacy, Refund and Contact pages; respond to PayPal requests the same day.</t>
  </si>
  <si>
    <t>How a dispute progresses</t>
  </si>
  <si>
    <t>1. Inquiry</t>
  </si>
  <si>
    <t>Customer and DriveDeal message each other in PayPal's Resolution Center. About 20 days to settle (e.g. by refund).</t>
  </si>
  <si>
    <t>2. Claim</t>
  </si>
  <si>
    <t>If not settled, escalated to PayPal, which decides. DriveDeal submits evidence within ~10 days.</t>
  </si>
  <si>
    <t>Chargeback</t>
  </si>
  <si>
    <t>Separate path through the customer's bank. No negotiation with the customer; $20 fee applies.</t>
  </si>
  <si>
    <t>Timeline &amp; Next Steps</t>
  </si>
  <si>
    <t>Account approval runs in parallel with development in the PayPal test (sandbox) environment</t>
  </si>
  <si>
    <t>Step</t>
  </si>
  <si>
    <t>Owner</t>
  </si>
  <si>
    <t>Estimated time</t>
  </si>
  <si>
    <t>Depends on</t>
  </si>
  <si>
    <t>Status</t>
  </si>
  <si>
    <t>Open PayPal Business account and complete verification (EIN, owner ID, address, mobile)</t>
  </si>
  <si>
    <t>1-3 days</t>
  </si>
  <si>
    <t>Checklist sections A-B</t>
  </si>
  <si>
    <t>Not started</t>
  </si>
  <si>
    <t>Link and confirm US business bank account</t>
  </si>
  <si>
    <t>1-3 business days</t>
  </si>
  <si>
    <t>Step 1</t>
  </si>
  <si>
    <t>Decide refund/cancellation policy and confirm plan prices</t>
  </si>
  <si>
    <t>Client / Management</t>
  </si>
  <si>
    <t>1 week</t>
  </si>
  <si>
    <t>Share sandbox Client ID &amp; Secret with development team (secure channel)</t>
  </si>
  <si>
    <t>Same day</t>
  </si>
  <si>
    <t>Build checkout, saved payment methods, renewals, webhooks, reminders, cancel button, dispute admin panel - test in sandbox</t>
  </si>
  <si>
    <t>To be estimated</t>
  </si>
  <si>
    <t>Step 4</t>
  </si>
  <si>
    <t>Publish Terms, Privacy, Refund and Contact pages; auto-renewal wording at checkout</t>
  </si>
  <si>
    <t>1-2 weeks</t>
  </si>
  <si>
    <t>Step 3</t>
  </si>
  <si>
    <t>Apply for Advanced Credit &amp; Debit Card Payments and Vault in Live</t>
  </si>
  <si>
    <t>Several days (PayPal review)</t>
  </si>
  <si>
    <t>Steps 1, 6</t>
  </si>
  <si>
    <t>Set card statement name (e.g. DRIVEDEAL PREMIUM)</t>
  </si>
  <si>
    <t>Create Live credentials, plans and webhook; switch application to live</t>
  </si>
  <si>
    <t>1 day</t>
  </si>
  <si>
    <t>Steps 5, 7</t>
  </si>
  <si>
    <t>Launch with gradual rollout; monitor holds, disputes and refunds</t>
  </si>
  <si>
    <t>First 90 days</t>
  </si>
  <si>
    <t>Step 9</t>
  </si>
  <si>
    <t>Checked 13 Oct 2026</t>
  </si>
  <si>
    <t>Source</t>
  </si>
  <si>
    <t>Link</t>
  </si>
  <si>
    <t>PayPal US Merchant Fees (official, last updated 1 Oct 2026) - all fee figures</t>
  </si>
  <si>
    <t>https://www.paypal.com/us/webapps/mpp/merchant-fees</t>
  </si>
  <si>
    <t>PayPal Business Fees (official)</t>
  </si>
  <si>
    <t>https://www.paypal.com/us/business/paypal-business-fees</t>
  </si>
  <si>
    <t>PayPal Help - New account payment holds (up to 21 days, release conditions)</t>
  </si>
  <si>
    <t>https://www.paypal.com/us/cshelp/article/new-paypal-account-%E2%80%93-payments-on-hold-and-accessing-your-money-quicker-help848</t>
  </si>
  <si>
    <t>NerdWallet - PayPal Fees 2026</t>
  </si>
  <si>
    <t>https://www.nerdwallet.com/article/small-business/paypal-fees</t>
  </si>
  <si>
    <t>Chargeflow - PayPal chargebacks 2026</t>
  </si>
  <si>
    <t>https://www.chargeflow.io/chargebacks-101/paypal-chargeback</t>
  </si>
  <si>
    <t>DriveDeal plan prices</t>
  </si>
  <si>
    <t>DriveDeal application settings (Dealer $500/yr, Buyer $100/yr)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</si>
</sst>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quot;-&quot;"/>
    <numFmt numFmtId="165" formatCode="0.00%;\(0.00%\);&quot;-&quot;"/>
  </numFmts>
  <fonts count="10">
    <font>
      <sz val="11"/>
      <color theme="1"/>
      <name val="Calibri"/>
      <family val="2"/>
      <scheme val="minor"/>
    </font>
    <font>
      <b/>
      <sz val="16"/>
      <color rgb="FF1F3864"/>
      <name val="Arial"/>
    </font>
    <font>
      <i/>
      <sz val="10"/>
      <color rgb="FF595959"/>
      <name val="Arial"/>
    </font>
    <font>
      <b/>
      <sz val="11"/>
      <color rgb="FF1F3864"/>
      <name val="Arial"/>
    </font>
    <font>
      <sz val="10"/>
      <name val="Arial"/>
    </font>
    <font>
      <b/>
      <sz val="10"/>
      <name val="Arial"/>
    </font>
    <font>
      <sz val="10"/>
      <color rgb="FF008000"/>
      <name val="Arial"/>
    </font>
    <font>
      <sz val="10"/>
      <color rgb="FF0000FF"/>
      <name val="Arial"/>
    </font>
    <font>
      <b/>
      <sz val="10"/>
      <color rgb="FFFFFFFF"/>
      <name val="Arial"/>
    </font>
    <font>
      <u/>
      <sz val="10"/>
      <color rgb="FF0563C1"/>
      <name val="Arial"/>
    </font>
  </fonts>
  <fills count="6">
    <fill>
      <patternFill patternType="none"/>
    </fill>
    <fill>
      <patternFill patternType="gray125"/>
    </fill>
    <fill>
      <patternFill patternType="solid">
        <fgColor rgb="FFD9E2F3"/>
      </patternFill>
    </fill>
    <fill>
      <patternFill patternType="solid">
        <fgColor rgb="FFF2F5FA"/>
      </patternFill>
    </fill>
    <fill>
      <patternFill patternType="solid">
        <fgColor rgb="FFFFF2CC"/>
      </patternFill>
    </fill>
    <fill>
      <patternFill patternType="solid">
        <fgColor rgb="FF1F3864"/>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36">
    <xf numFmtId="0" fontId="0" fillId="0" borderId="0" xfId="0"/>
    <xf numFmtId="0" fontId="1" fillId="0" borderId="0" xfId="0" applyFont="1"/>
    <xf numFmtId="0" fontId="2" fillId="0" borderId="0" xfId="0" applyFont="1"/>
    <xf numFmtId="0" fontId="3" fillId="2" borderId="1" xfId="0" applyFont="1" applyFill="1" applyBorder="1"/>
    <xf numFmtId="0" fontId="5" fillId="0" borderId="1" xfId="0" applyFont="1" applyBorder="1" applyAlignment="1">
      <alignment vertical="top" wrapText="1"/>
    </xf>
    <xf numFmtId="0" fontId="4" fillId="0" borderId="1" xfId="0" applyFont="1" applyBorder="1" applyAlignment="1">
      <alignment vertical="top" wrapText="1"/>
    </xf>
    <xf numFmtId="0" fontId="5" fillId="3" borderId="1" xfId="0" applyFont="1" applyFill="1" applyBorder="1" applyAlignment="1">
      <alignment vertical="top" wrapText="1"/>
    </xf>
    <xf numFmtId="0" fontId="4" fillId="3" borderId="1" xfId="0" applyFont="1" applyFill="1" applyBorder="1" applyAlignment="1">
      <alignment vertical="top" wrapText="1"/>
    </xf>
    <xf numFmtId="164" fontId="6" fillId="0" borderId="1" xfId="0" applyNumberFormat="1" applyFont="1" applyBorder="1" applyAlignment="1">
      <alignment horizontal="left" vertical="top"/>
    </xf>
    <xf numFmtId="164" fontId="6" fillId="3" borderId="1" xfId="0" applyNumberFormat="1" applyFont="1" applyFill="1" applyBorder="1" applyAlignment="1">
      <alignment horizontal="left" vertical="top"/>
    </xf>
    <xf numFmtId="0" fontId="7" fillId="4" borderId="1" xfId="0" applyFont="1" applyFill="1" applyBorder="1" applyAlignment="1">
      <alignment vertical="top" wrapText="1"/>
    </xf>
    <xf numFmtId="0" fontId="6" fillId="0" borderId="1" xfId="0" applyFont="1" applyBorder="1" applyAlignment="1">
      <alignment vertical="top" wrapText="1"/>
    </xf>
    <xf numFmtId="0" fontId="8" fillId="5" borderId="1" xfId="0" applyFont="1" applyFill="1" applyBorder="1" applyAlignment="1">
      <alignment horizontal="center" vertical="center" wrapText="1"/>
    </xf>
    <xf numFmtId="0" fontId="4" fillId="0" borderId="1" xfId="0" applyFont="1" applyBorder="1" applyAlignment="1">
      <alignment horizontal="center" vertical="top" wrapText="1"/>
    </xf>
    <xf numFmtId="0" fontId="7" fillId="0" borderId="1" xfId="0" applyFont="1" applyBorder="1" applyAlignment="1">
      <alignment horizontal="center" vertical="top" wrapText="1"/>
    </xf>
    <xf numFmtId="0" fontId="4" fillId="3" borderId="1" xfId="0" applyFont="1" applyFill="1" applyBorder="1" applyAlignment="1">
      <alignment horizontal="center" vertical="top" wrapText="1"/>
    </xf>
    <xf numFmtId="0" fontId="7" fillId="3" borderId="1" xfId="0" applyFont="1" applyFill="1" applyBorder="1" applyAlignment="1">
      <alignment horizontal="center" vertical="top" wrapText="1"/>
    </xf>
    <xf numFmtId="165" fontId="4" fillId="0" borderId="1" xfId="0" applyNumberFormat="1" applyFont="1" applyBorder="1" applyAlignment="1">
      <alignment horizontal="center" vertical="top" wrapText="1"/>
    </xf>
    <xf numFmtId="164" fontId="4" fillId="0" borderId="1" xfId="0" applyNumberFormat="1" applyFont="1" applyBorder="1" applyAlignment="1">
      <alignment horizontal="center" vertical="top" wrapText="1"/>
    </xf>
    <xf numFmtId="165" fontId="4" fillId="3" borderId="1" xfId="0" applyNumberFormat="1" applyFont="1" applyFill="1" applyBorder="1" applyAlignment="1">
      <alignment horizontal="center" vertical="top" wrapText="1"/>
    </xf>
    <xf numFmtId="164" fontId="4" fillId="3" borderId="1" xfId="0" applyNumberFormat="1" applyFont="1" applyFill="1" applyBorder="1" applyAlignment="1">
      <alignment horizontal="center" vertical="top" wrapText="1"/>
    </xf>
    <xf numFmtId="164" fontId="7" fillId="4" borderId="1" xfId="0" applyNumberFormat="1" applyFont="1" applyFill="1" applyBorder="1" applyAlignment="1">
      <alignment vertical="top" wrapText="1"/>
    </xf>
    <xf numFmtId="0" fontId="5" fillId="3" borderId="1" xfId="0" applyFont="1" applyFill="1" applyBorder="1"/>
    <xf numFmtId="0" fontId="0" fillId="3" borderId="1" xfId="0" applyFill="1" applyBorder="1"/>
    <xf numFmtId="164" fontId="4" fillId="0" borderId="1" xfId="0" applyNumberFormat="1" applyFont="1" applyBorder="1" applyAlignment="1">
      <alignment vertical="top" wrapText="1"/>
    </xf>
    <xf numFmtId="165" fontId="7" fillId="4" borderId="1" xfId="0" applyNumberFormat="1" applyFont="1" applyFill="1" applyBorder="1" applyAlignment="1">
      <alignment vertical="top" wrapText="1"/>
    </xf>
    <xf numFmtId="164" fontId="5" fillId="0" borderId="1" xfId="0" applyNumberFormat="1" applyFont="1" applyBorder="1" applyAlignment="1">
      <alignment vertical="top" wrapText="1"/>
    </xf>
    <xf numFmtId="165" fontId="4" fillId="0" borderId="1" xfId="0" applyNumberFormat="1" applyFont="1" applyBorder="1" applyAlignment="1">
      <alignment vertical="top" wrapText="1"/>
    </xf>
    <xf numFmtId="0" fontId="9" fillId="0" borderId="1" xfId="0" applyFont="1" applyBorder="1" applyAlignment="1">
      <alignment vertical="top" wrapText="1"/>
    </xf>
    <xf numFmtId="0" fontId="9" fillId="3" borderId="1" xfId="0" applyFont="1" applyFill="1" applyBorder="1" applyAlignment="1">
      <alignment vertical="top" wrapText="1"/>
    </xf>
    <xf numFmtId="0" fontId="4" fillId="0" borderId="0" xfId="0" applyFont="1" applyAlignment="1">
      <alignment vertical="top"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0" fillId="0" borderId="0" xfId="0" applyAlignment="1"/>
    <xf numFmtId="0" fontId="0" fillId="0" borderId="2" xfId="0" applyBorder="1" applyAlignment="1"/>
    <xf numFmtId="0" fontId="0" fillId="0" borderId="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3" Type="http://schemas.openxmlformats.org/officeDocument/2006/relationships/hyperlink" Target="https://www.paypal.com/us/cshelp/article/new-paypal-account-%E2%80%93-payments-on-hold-and-accessing-your-money-quicker-help848" TargetMode="External"/><Relationship Id="rId2" Type="http://schemas.openxmlformats.org/officeDocument/2006/relationships/hyperlink" Target="https://www.paypal.com/us/business/paypal-business-fees" TargetMode="External"/><Relationship Id="rId1" Type="http://schemas.openxmlformats.org/officeDocument/2006/relationships/hyperlink" Target="https://www.paypal.com/us/webapps/mpp/merchant-fees" TargetMode="External"/><Relationship Id="rId5" Type="http://schemas.openxmlformats.org/officeDocument/2006/relationships/hyperlink" Target="https://www.chargeflow.io/chargebacks-101/paypal-chargeback" TargetMode="External"/><Relationship Id="rId4" Type="http://schemas.openxmlformats.org/officeDocument/2006/relationships/hyperlink" Target="https://www.nerdwallet.com/article/small-business/paypal-fe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32"/>
  <sheetViews>
    <sheetView showGridLines="0" tabSelected="1" topLeftCell="A14" workbookViewId="0">
      <selection activeCell="D20" sqref="D20"/>
    </sheetView>
  </sheetViews>
  <sheetFormatPr defaultRowHeight="15"/>
  <cols>
    <col min="1" max="1" width="30" customWidth="1"/>
    <col min="2" max="2" width="95" customWidth="1"/>
  </cols>
  <sheetData>
    <row r="1" spans="1:2" ht="20.25">
      <c r="A1" s="1" t="s">
        <v>0</v>
      </c>
    </row>
    <row r="2" spans="1:2">
      <c r="A2" s="2" t="s">
        <v>1</v>
      </c>
    </row>
    <row r="4" spans="1:2">
      <c r="A4" s="3" t="s">
        <v>2</v>
      </c>
      <c r="B4" s="3"/>
    </row>
    <row r="5" spans="1:2" ht="48" customHeight="1">
      <c r="A5" s="30" t="s">
        <v>3</v>
      </c>
      <c r="B5" s="33"/>
    </row>
    <row r="7" spans="1:2">
      <c r="A7" s="3" t="s">
        <v>4</v>
      </c>
      <c r="B7" s="3"/>
    </row>
    <row r="8" spans="1:2" ht="32.1" customHeight="1">
      <c r="A8" s="4" t="s">
        <v>5</v>
      </c>
      <c r="B8" s="5" t="s">
        <v>6</v>
      </c>
    </row>
    <row r="9" spans="1:2" ht="32.1" customHeight="1">
      <c r="A9" s="6" t="s">
        <v>7</v>
      </c>
      <c r="B9" s="7" t="s">
        <v>8</v>
      </c>
    </row>
    <row r="10" spans="1:2" ht="32.1" customHeight="1">
      <c r="A10" s="4" t="s">
        <v>9</v>
      </c>
      <c r="B10" s="5" t="s">
        <v>10</v>
      </c>
    </row>
    <row r="11" spans="1:2" ht="32.1" customHeight="1">
      <c r="A11" s="6" t="s">
        <v>11</v>
      </c>
      <c r="B11" s="7" t="s">
        <v>12</v>
      </c>
    </row>
    <row r="12" spans="1:2" ht="32.1" customHeight="1">
      <c r="A12" s="4" t="s">
        <v>13</v>
      </c>
      <c r="B12" s="5" t="s">
        <v>14</v>
      </c>
    </row>
    <row r="13" spans="1:2" ht="32.1" customHeight="1">
      <c r="A13" s="6" t="s">
        <v>15</v>
      </c>
      <c r="B13" s="7" t="s">
        <v>16</v>
      </c>
    </row>
    <row r="15" spans="1:2">
      <c r="A15" s="3" t="s">
        <v>17</v>
      </c>
      <c r="B15" s="3"/>
    </row>
    <row r="16" spans="1:2" ht="25.5">
      <c r="A16" s="5" t="s">
        <v>18</v>
      </c>
      <c r="B16" s="8">
        <f>'Cost per Plan'!F14</f>
        <v>485.26</v>
      </c>
    </row>
    <row r="17" spans="1:2" ht="25.5">
      <c r="A17" s="7" t="s">
        <v>19</v>
      </c>
      <c r="B17" s="9">
        <f>'Cost per Plan'!F12</f>
        <v>482.06</v>
      </c>
    </row>
    <row r="18" spans="1:2" ht="25.5">
      <c r="A18" s="5" t="s">
        <v>20</v>
      </c>
      <c r="B18" s="8">
        <f>'Cost per Plan'!F18</f>
        <v>96.82</v>
      </c>
    </row>
    <row r="19" spans="1:2" ht="25.5">
      <c r="A19" s="7" t="s">
        <v>21</v>
      </c>
      <c r="B19" s="9">
        <f>'Cost per Plan'!F16</f>
        <v>96.02</v>
      </c>
    </row>
    <row r="21" spans="1:2">
      <c r="A21" s="3" t="s">
        <v>22</v>
      </c>
      <c r="B21" s="3"/>
    </row>
    <row r="22" spans="1:2" ht="25.5">
      <c r="A22" s="4" t="s">
        <v>23</v>
      </c>
      <c r="B22" s="5" t="s">
        <v>24</v>
      </c>
    </row>
    <row r="23" spans="1:2">
      <c r="A23" s="6" t="s">
        <v>25</v>
      </c>
      <c r="B23" s="7" t="s">
        <v>26</v>
      </c>
    </row>
    <row r="24" spans="1:2">
      <c r="A24" s="4" t="s">
        <v>27</v>
      </c>
      <c r="B24" s="5" t="s">
        <v>28</v>
      </c>
    </row>
    <row r="25" spans="1:2">
      <c r="A25" s="6" t="s">
        <v>29</v>
      </c>
      <c r="B25" s="7" t="s">
        <v>30</v>
      </c>
    </row>
    <row r="26" spans="1:2">
      <c r="A26" s="4" t="s">
        <v>31</v>
      </c>
      <c r="B26" s="5" t="s">
        <v>32</v>
      </c>
    </row>
    <row r="28" spans="1:2">
      <c r="A28" s="3" t="s">
        <v>33</v>
      </c>
      <c r="B28" s="3"/>
    </row>
    <row r="29" spans="1:2">
      <c r="A29" s="10" t="s">
        <v>34</v>
      </c>
      <c r="B29" s="5" t="s">
        <v>35</v>
      </c>
    </row>
    <row r="30" spans="1:2">
      <c r="A30" s="11" t="s">
        <v>36</v>
      </c>
      <c r="B30" s="5" t="s">
        <v>37</v>
      </c>
    </row>
    <row r="31" spans="1:2" ht="25.5">
      <c r="A31" s="4" t="s">
        <v>38</v>
      </c>
      <c r="B31" s="5" t="s">
        <v>39</v>
      </c>
    </row>
    <row r="32" spans="1:2" ht="25.5">
      <c r="A32" s="4" t="s">
        <v>40</v>
      </c>
      <c r="B32" s="5" t="s">
        <v>41</v>
      </c>
    </row>
  </sheetData>
  <mergeCells count="1">
    <mergeCell ref="A5:B5"/>
  </mergeCell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43"/>
  <sheetViews>
    <sheetView showGridLines="0" workbookViewId="0">
      <pane xSplit="2" ySplit="4" topLeftCell="C5" activePane="bottomRight" state="frozen"/>
      <selection pane="bottomRight" activeCell="K41" sqref="K41"/>
      <selection pane="bottomLeft"/>
      <selection pane="topRight"/>
    </sheetView>
  </sheetViews>
  <sheetFormatPr defaultRowHeight="15"/>
  <cols>
    <col min="1" max="1" width="5" customWidth="1"/>
    <col min="2" max="2" width="30" customWidth="1"/>
    <col min="3" max="3" width="42" customWidth="1"/>
    <col min="4" max="4" width="52" customWidth="1"/>
    <col min="5" max="6" width="16" customWidth="1"/>
    <col min="7" max="7" width="18" customWidth="1"/>
  </cols>
  <sheetData>
    <row r="1" spans="1:7" ht="20.25">
      <c r="A1" s="1" t="s">
        <v>23</v>
      </c>
    </row>
    <row r="2" spans="1:7">
      <c r="A2" s="2" t="s">
        <v>42</v>
      </c>
    </row>
    <row r="4" spans="1:7" ht="30" customHeight="1">
      <c r="A4" s="12" t="s">
        <v>43</v>
      </c>
      <c r="B4" s="12" t="s">
        <v>44</v>
      </c>
      <c r="C4" s="12" t="s">
        <v>45</v>
      </c>
      <c r="D4" s="12" t="s">
        <v>46</v>
      </c>
      <c r="E4" s="12" t="s">
        <v>47</v>
      </c>
      <c r="F4" s="12" t="s">
        <v>48</v>
      </c>
      <c r="G4" s="12" t="s">
        <v>49</v>
      </c>
    </row>
    <row r="5" spans="1:7">
      <c r="A5" s="3" t="s">
        <v>50</v>
      </c>
      <c r="B5" s="3"/>
      <c r="C5" s="3"/>
      <c r="D5" s="3"/>
      <c r="E5" s="3"/>
      <c r="F5" s="3"/>
      <c r="G5" s="3"/>
    </row>
    <row r="6" spans="1:7" ht="25.5">
      <c r="A6" s="13">
        <v>1</v>
      </c>
      <c r="B6" s="4" t="s">
        <v>51</v>
      </c>
      <c r="C6" s="5" t="s">
        <v>52</v>
      </c>
      <c r="D6" s="5" t="s">
        <v>53</v>
      </c>
      <c r="E6" s="5" t="s">
        <v>54</v>
      </c>
      <c r="F6" s="13" t="s">
        <v>55</v>
      </c>
      <c r="G6" s="13" t="s">
        <v>56</v>
      </c>
    </row>
    <row r="7" spans="1:7">
      <c r="A7" s="15">
        <v>2</v>
      </c>
      <c r="B7" s="6" t="s">
        <v>57</v>
      </c>
      <c r="C7" s="7" t="s">
        <v>58</v>
      </c>
      <c r="D7" s="7" t="s">
        <v>59</v>
      </c>
      <c r="E7" s="7" t="s">
        <v>54</v>
      </c>
      <c r="F7" s="15" t="s">
        <v>55</v>
      </c>
      <c r="G7" s="15" t="s">
        <v>56</v>
      </c>
    </row>
    <row r="8" spans="1:7" ht="25.5">
      <c r="A8" s="13">
        <v>3</v>
      </c>
      <c r="B8" s="4" t="s">
        <v>60</v>
      </c>
      <c r="C8" s="5" t="s">
        <v>61</v>
      </c>
      <c r="D8" s="5" t="s">
        <v>62</v>
      </c>
      <c r="E8" s="5" t="s">
        <v>54</v>
      </c>
      <c r="F8" s="13" t="s">
        <v>55</v>
      </c>
      <c r="G8" s="13" t="s">
        <v>56</v>
      </c>
    </row>
    <row r="9" spans="1:7">
      <c r="A9" s="15">
        <v>4</v>
      </c>
      <c r="B9" s="6" t="s">
        <v>63</v>
      </c>
      <c r="C9" s="7" t="s">
        <v>64</v>
      </c>
      <c r="D9" s="7" t="s">
        <v>65</v>
      </c>
      <c r="E9" s="7" t="s">
        <v>54</v>
      </c>
      <c r="F9" s="15" t="s">
        <v>55</v>
      </c>
      <c r="G9" s="15" t="s">
        <v>56</v>
      </c>
    </row>
    <row r="10" spans="1:7" ht="38.25">
      <c r="A10" s="13">
        <v>5</v>
      </c>
      <c r="B10" s="4" t="s">
        <v>66</v>
      </c>
      <c r="C10" s="5" t="s">
        <v>67</v>
      </c>
      <c r="D10" s="5" t="s">
        <v>68</v>
      </c>
      <c r="E10" s="5" t="s">
        <v>54</v>
      </c>
      <c r="F10" s="13" t="s">
        <v>55</v>
      </c>
      <c r="G10" s="13" t="s">
        <v>56</v>
      </c>
    </row>
    <row r="11" spans="1:7" ht="38.25">
      <c r="A11" s="15">
        <v>6</v>
      </c>
      <c r="B11" s="6" t="s">
        <v>69</v>
      </c>
      <c r="C11" s="7" t="s">
        <v>70</v>
      </c>
      <c r="D11" s="7" t="s">
        <v>71</v>
      </c>
      <c r="E11" s="7" t="s">
        <v>54</v>
      </c>
      <c r="F11" s="15" t="s">
        <v>55</v>
      </c>
      <c r="G11" s="15" t="s">
        <v>56</v>
      </c>
    </row>
    <row r="12" spans="1:7" ht="25.5">
      <c r="A12" s="13">
        <v>7</v>
      </c>
      <c r="B12" s="4" t="s">
        <v>72</v>
      </c>
      <c r="C12" s="5" t="s">
        <v>73</v>
      </c>
      <c r="D12" s="5" t="s">
        <v>74</v>
      </c>
      <c r="E12" s="5" t="s">
        <v>54</v>
      </c>
      <c r="F12" s="13" t="s">
        <v>55</v>
      </c>
      <c r="G12" s="13" t="s">
        <v>56</v>
      </c>
    </row>
    <row r="13" spans="1:7" ht="25.5">
      <c r="A13" s="15">
        <v>8</v>
      </c>
      <c r="B13" s="6" t="s">
        <v>75</v>
      </c>
      <c r="C13" s="7" t="s">
        <v>76</v>
      </c>
      <c r="D13" s="7" t="s">
        <v>77</v>
      </c>
      <c r="E13" s="7" t="s">
        <v>54</v>
      </c>
      <c r="F13" s="15" t="s">
        <v>55</v>
      </c>
      <c r="G13" s="15" t="s">
        <v>56</v>
      </c>
    </row>
    <row r="14" spans="1:7" ht="25.5">
      <c r="A14" s="13">
        <v>9</v>
      </c>
      <c r="B14" s="4" t="s">
        <v>78</v>
      </c>
      <c r="C14" s="5" t="s">
        <v>79</v>
      </c>
      <c r="D14" s="5" t="s">
        <v>80</v>
      </c>
      <c r="E14" s="5" t="s">
        <v>54</v>
      </c>
      <c r="F14" s="13" t="s">
        <v>55</v>
      </c>
      <c r="G14" s="13" t="s">
        <v>56</v>
      </c>
    </row>
    <row r="15" spans="1:7" ht="25.5">
      <c r="A15" s="15">
        <v>10</v>
      </c>
      <c r="B15" s="6" t="s">
        <v>81</v>
      </c>
      <c r="C15" s="7" t="s">
        <v>82</v>
      </c>
      <c r="D15" s="7" t="s">
        <v>83</v>
      </c>
      <c r="E15" s="7" t="s">
        <v>84</v>
      </c>
      <c r="F15" s="15" t="s">
        <v>55</v>
      </c>
      <c r="G15" s="15" t="s">
        <v>85</v>
      </c>
    </row>
    <row r="16" spans="1:7">
      <c r="A16" s="3" t="s">
        <v>86</v>
      </c>
      <c r="B16" s="3"/>
      <c r="C16" s="3"/>
      <c r="D16" s="3"/>
      <c r="E16" s="3"/>
      <c r="F16" s="3"/>
      <c r="G16" s="3"/>
    </row>
    <row r="17" spans="1:7" ht="25.5">
      <c r="A17" s="13">
        <v>11</v>
      </c>
      <c r="B17" s="4" t="s">
        <v>87</v>
      </c>
      <c r="C17" s="5" t="s">
        <v>88</v>
      </c>
      <c r="D17" s="5" t="s">
        <v>89</v>
      </c>
      <c r="E17" s="5" t="s">
        <v>54</v>
      </c>
      <c r="F17" s="13" t="s">
        <v>55</v>
      </c>
      <c r="G17" s="13" t="s">
        <v>56</v>
      </c>
    </row>
    <row r="18" spans="1:7">
      <c r="A18" s="15">
        <v>12</v>
      </c>
      <c r="B18" s="6" t="s">
        <v>90</v>
      </c>
      <c r="C18" s="7" t="s">
        <v>91</v>
      </c>
      <c r="D18" s="7" t="s">
        <v>92</v>
      </c>
      <c r="E18" s="7" t="s">
        <v>54</v>
      </c>
      <c r="F18" s="15" t="s">
        <v>55</v>
      </c>
      <c r="G18" s="15" t="s">
        <v>56</v>
      </c>
    </row>
    <row r="19" spans="1:7" ht="25.5">
      <c r="A19" s="13">
        <v>13</v>
      </c>
      <c r="B19" s="4" t="s">
        <v>93</v>
      </c>
      <c r="C19" s="5" t="s">
        <v>94</v>
      </c>
      <c r="D19" s="5" t="s">
        <v>95</v>
      </c>
      <c r="E19" s="5" t="s">
        <v>54</v>
      </c>
      <c r="F19" s="13" t="s">
        <v>96</v>
      </c>
      <c r="G19" s="13" t="s">
        <v>56</v>
      </c>
    </row>
    <row r="20" spans="1:7">
      <c r="A20" s="15">
        <v>14</v>
      </c>
      <c r="B20" s="6" t="s">
        <v>97</v>
      </c>
      <c r="C20" s="7" t="s">
        <v>98</v>
      </c>
      <c r="D20" s="7" t="s">
        <v>99</v>
      </c>
      <c r="E20" s="7" t="s">
        <v>54</v>
      </c>
      <c r="F20" s="15" t="s">
        <v>100</v>
      </c>
      <c r="G20" s="15" t="s">
        <v>101</v>
      </c>
    </row>
    <row r="21" spans="1:7" ht="25.5">
      <c r="A21" s="13">
        <v>15</v>
      </c>
      <c r="B21" s="4" t="s">
        <v>102</v>
      </c>
      <c r="C21" s="5" t="s">
        <v>103</v>
      </c>
      <c r="D21" s="5" t="s">
        <v>104</v>
      </c>
      <c r="E21" s="5" t="s">
        <v>54</v>
      </c>
      <c r="F21" s="13" t="s">
        <v>100</v>
      </c>
      <c r="G21" s="13" t="s">
        <v>101</v>
      </c>
    </row>
    <row r="22" spans="1:7">
      <c r="A22" s="3" t="s">
        <v>105</v>
      </c>
      <c r="B22" s="3"/>
      <c r="C22" s="3"/>
      <c r="D22" s="3"/>
      <c r="E22" s="3"/>
      <c r="F22" s="3"/>
      <c r="G22" s="3"/>
    </row>
    <row r="23" spans="1:7" ht="38.25">
      <c r="A23" s="13">
        <v>16</v>
      </c>
      <c r="B23" s="4" t="s">
        <v>106</v>
      </c>
      <c r="C23" s="5" t="s">
        <v>107</v>
      </c>
      <c r="D23" s="5" t="s">
        <v>108</v>
      </c>
      <c r="E23" s="5" t="s">
        <v>54</v>
      </c>
      <c r="F23" s="13" t="s">
        <v>55</v>
      </c>
      <c r="G23" s="13" t="s">
        <v>109</v>
      </c>
    </row>
    <row r="24" spans="1:7" ht="25.5">
      <c r="A24" s="15">
        <v>17</v>
      </c>
      <c r="B24" s="6" t="s">
        <v>110</v>
      </c>
      <c r="C24" s="7" t="s">
        <v>111</v>
      </c>
      <c r="D24" s="7" t="s">
        <v>112</v>
      </c>
      <c r="E24" s="7" t="s">
        <v>54</v>
      </c>
      <c r="F24" s="15" t="s">
        <v>55</v>
      </c>
      <c r="G24" s="15" t="s">
        <v>109</v>
      </c>
    </row>
    <row r="25" spans="1:7">
      <c r="A25" s="3" t="s">
        <v>113</v>
      </c>
      <c r="B25" s="3"/>
      <c r="C25" s="3"/>
      <c r="D25" s="3"/>
      <c r="E25" s="3"/>
      <c r="F25" s="3"/>
      <c r="G25" s="3"/>
    </row>
    <row r="26" spans="1:7" ht="25.5">
      <c r="A26" s="13">
        <v>18</v>
      </c>
      <c r="B26" s="4" t="s">
        <v>114</v>
      </c>
      <c r="C26" s="5" t="s">
        <v>115</v>
      </c>
      <c r="D26" s="5" t="s">
        <v>116</v>
      </c>
      <c r="E26" s="5" t="s">
        <v>117</v>
      </c>
      <c r="F26" s="13" t="s">
        <v>55</v>
      </c>
      <c r="G26" s="13" t="s">
        <v>118</v>
      </c>
    </row>
    <row r="27" spans="1:7" ht="25.5">
      <c r="A27" s="15">
        <v>19</v>
      </c>
      <c r="B27" s="6" t="s">
        <v>119</v>
      </c>
      <c r="C27" s="7" t="s">
        <v>120</v>
      </c>
      <c r="D27" s="7" t="s">
        <v>121</v>
      </c>
      <c r="E27" s="7" t="s">
        <v>117</v>
      </c>
      <c r="F27" s="15" t="s">
        <v>55</v>
      </c>
      <c r="G27" s="15" t="s">
        <v>118</v>
      </c>
    </row>
    <row r="28" spans="1:7" ht="25.5">
      <c r="A28" s="13">
        <v>20</v>
      </c>
      <c r="B28" s="4" t="s">
        <v>122</v>
      </c>
      <c r="C28" s="5" t="s">
        <v>123</v>
      </c>
      <c r="D28" s="5" t="s">
        <v>124</v>
      </c>
      <c r="E28" s="5" t="s">
        <v>125</v>
      </c>
      <c r="F28" s="13" t="s">
        <v>55</v>
      </c>
      <c r="G28" s="13" t="s">
        <v>118</v>
      </c>
    </row>
    <row r="29" spans="1:7" ht="38.25">
      <c r="A29" s="15">
        <v>21</v>
      </c>
      <c r="B29" s="6" t="s">
        <v>126</v>
      </c>
      <c r="C29" s="7" t="s">
        <v>127</v>
      </c>
      <c r="D29" s="7" t="s">
        <v>128</v>
      </c>
      <c r="E29" s="7" t="s">
        <v>129</v>
      </c>
      <c r="F29" s="15" t="s">
        <v>55</v>
      </c>
      <c r="G29" s="15" t="s">
        <v>118</v>
      </c>
    </row>
    <row r="30" spans="1:7">
      <c r="A30" s="13">
        <v>22</v>
      </c>
      <c r="B30" s="4" t="s">
        <v>130</v>
      </c>
      <c r="C30" s="5" t="s">
        <v>131</v>
      </c>
      <c r="D30" s="5" t="s">
        <v>132</v>
      </c>
      <c r="E30" s="5" t="s">
        <v>129</v>
      </c>
      <c r="F30" s="13" t="s">
        <v>55</v>
      </c>
      <c r="G30" s="13" t="s">
        <v>118</v>
      </c>
    </row>
    <row r="31" spans="1:7">
      <c r="A31" s="3" t="s">
        <v>133</v>
      </c>
      <c r="B31" s="3"/>
      <c r="C31" s="3"/>
      <c r="D31" s="3"/>
      <c r="E31" s="3"/>
      <c r="F31" s="3"/>
      <c r="G31" s="3"/>
    </row>
    <row r="32" spans="1:7" ht="38.25">
      <c r="A32" s="13">
        <v>23</v>
      </c>
      <c r="B32" s="4" t="s">
        <v>134</v>
      </c>
      <c r="C32" s="5" t="s">
        <v>135</v>
      </c>
      <c r="D32" s="5" t="s">
        <v>136</v>
      </c>
      <c r="E32" s="5" t="s">
        <v>137</v>
      </c>
      <c r="F32" s="13" t="s">
        <v>138</v>
      </c>
      <c r="G32" s="13" t="s">
        <v>118</v>
      </c>
    </row>
    <row r="33" spans="1:7" ht="25.5">
      <c r="A33" s="15">
        <v>24</v>
      </c>
      <c r="B33" s="6" t="s">
        <v>139</v>
      </c>
      <c r="C33" s="7" t="s">
        <v>140</v>
      </c>
      <c r="D33" s="7" t="s">
        <v>141</v>
      </c>
      <c r="E33" s="7" t="s">
        <v>137</v>
      </c>
      <c r="F33" s="15" t="s">
        <v>55</v>
      </c>
      <c r="G33" s="15" t="s">
        <v>118</v>
      </c>
    </row>
    <row r="34" spans="1:7" ht="38.25">
      <c r="A34" s="13">
        <v>25</v>
      </c>
      <c r="B34" s="4" t="s">
        <v>142</v>
      </c>
      <c r="C34" s="5" t="s">
        <v>143</v>
      </c>
      <c r="D34" s="5" t="s">
        <v>144</v>
      </c>
      <c r="E34" s="5" t="s">
        <v>84</v>
      </c>
      <c r="F34" s="13" t="s">
        <v>138</v>
      </c>
      <c r="G34" s="13" t="s">
        <v>118</v>
      </c>
    </row>
    <row r="35" spans="1:7">
      <c r="A35" s="15">
        <v>26</v>
      </c>
      <c r="B35" s="6" t="s">
        <v>145</v>
      </c>
      <c r="C35" s="7" t="s">
        <v>146</v>
      </c>
      <c r="D35" s="7" t="s">
        <v>147</v>
      </c>
      <c r="E35" s="7" t="s">
        <v>54</v>
      </c>
      <c r="F35" s="15" t="s">
        <v>138</v>
      </c>
      <c r="G35" s="15" t="s">
        <v>56</v>
      </c>
    </row>
    <row r="36" spans="1:7" ht="25.5">
      <c r="A36" s="13">
        <v>27</v>
      </c>
      <c r="B36" s="4" t="s">
        <v>148</v>
      </c>
      <c r="C36" s="5" t="s">
        <v>149</v>
      </c>
      <c r="D36" s="5" t="s">
        <v>150</v>
      </c>
      <c r="E36" s="5" t="s">
        <v>54</v>
      </c>
      <c r="F36" s="13" t="s">
        <v>138</v>
      </c>
      <c r="G36" s="13" t="s">
        <v>151</v>
      </c>
    </row>
    <row r="37" spans="1:7">
      <c r="A37" s="3" t="s">
        <v>152</v>
      </c>
      <c r="B37" s="3"/>
      <c r="C37" s="3"/>
      <c r="D37" s="3"/>
      <c r="E37" s="3"/>
      <c r="F37" s="3"/>
      <c r="G37" s="3"/>
    </row>
    <row r="38" spans="1:7" ht="25.5">
      <c r="A38" s="13">
        <v>28</v>
      </c>
      <c r="B38" s="4" t="s">
        <v>153</v>
      </c>
      <c r="C38" s="5" t="s">
        <v>154</v>
      </c>
      <c r="D38" s="5" t="s">
        <v>155</v>
      </c>
      <c r="E38" s="5" t="s">
        <v>54</v>
      </c>
      <c r="F38" s="13" t="s">
        <v>55</v>
      </c>
      <c r="G38" s="13" t="s">
        <v>151</v>
      </c>
    </row>
    <row r="39" spans="1:7">
      <c r="A39" s="15">
        <v>29</v>
      </c>
      <c r="B39" s="6" t="s">
        <v>156</v>
      </c>
      <c r="C39" s="7" t="s">
        <v>157</v>
      </c>
      <c r="D39" s="7" t="s">
        <v>158</v>
      </c>
      <c r="E39" s="7" t="s">
        <v>84</v>
      </c>
      <c r="F39" s="15" t="s">
        <v>55</v>
      </c>
      <c r="G39" s="15" t="s">
        <v>151</v>
      </c>
    </row>
    <row r="40" spans="1:7" ht="25.5">
      <c r="A40" s="13">
        <v>30</v>
      </c>
      <c r="B40" s="4" t="s">
        <v>159</v>
      </c>
      <c r="C40" s="5" t="s">
        <v>160</v>
      </c>
      <c r="D40" s="5" t="s">
        <v>161</v>
      </c>
      <c r="E40" s="5" t="s">
        <v>54</v>
      </c>
      <c r="F40" s="13" t="s">
        <v>55</v>
      </c>
      <c r="G40" s="13" t="s">
        <v>162</v>
      </c>
    </row>
    <row r="41" spans="1:7" ht="25.5">
      <c r="A41" s="15">
        <v>31</v>
      </c>
      <c r="B41" s="6" t="s">
        <v>163</v>
      </c>
      <c r="C41" s="7" t="s">
        <v>164</v>
      </c>
      <c r="D41" s="7" t="s">
        <v>165</v>
      </c>
      <c r="E41" s="7" t="s">
        <v>129</v>
      </c>
      <c r="F41" s="15" t="s">
        <v>55</v>
      </c>
      <c r="G41" s="15" t="s">
        <v>151</v>
      </c>
    </row>
    <row r="42" spans="1:7">
      <c r="A42" s="13">
        <v>32</v>
      </c>
      <c r="B42" s="4" t="s">
        <v>166</v>
      </c>
      <c r="C42" s="5" t="s">
        <v>167</v>
      </c>
      <c r="D42" s="5" t="s">
        <v>168</v>
      </c>
      <c r="E42" s="5" t="s">
        <v>54</v>
      </c>
      <c r="F42" s="13" t="s">
        <v>55</v>
      </c>
      <c r="G42" s="13" t="s">
        <v>151</v>
      </c>
    </row>
    <row r="43" spans="1:7" ht="25.5">
      <c r="A43" s="15">
        <v>33</v>
      </c>
      <c r="B43" s="6" t="s">
        <v>169</v>
      </c>
      <c r="C43" s="7" t="s">
        <v>170</v>
      </c>
      <c r="D43" s="7" t="s">
        <v>171</v>
      </c>
      <c r="E43" s="7" t="s">
        <v>54</v>
      </c>
      <c r="F43" s="15" t="s">
        <v>55</v>
      </c>
      <c r="G43" s="15" t="s">
        <v>151</v>
      </c>
    </row>
  </sheetData>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7"/>
  <sheetViews>
    <sheetView showGridLines="0" workbookViewId="0">
      <pane ySplit="4" topLeftCell="A5" activePane="bottomLeft" state="frozen"/>
      <selection pane="bottomLeft" activeCell="B14" sqref="B14"/>
    </sheetView>
  </sheetViews>
  <sheetFormatPr defaultRowHeight="15"/>
  <cols>
    <col min="1" max="1" width="30" customWidth="1"/>
    <col min="2" max="2" width="55" customWidth="1"/>
    <col min="3" max="3" width="18" customWidth="1"/>
    <col min="4" max="4" width="16" customWidth="1"/>
    <col min="5" max="5" width="14" customWidth="1"/>
    <col min="6" max="6" width="45" customWidth="1"/>
  </cols>
  <sheetData>
    <row r="1" spans="1:6" ht="20.25">
      <c r="A1" s="1" t="s">
        <v>172</v>
      </c>
    </row>
    <row r="2" spans="1:6">
      <c r="A2" s="2" t="s">
        <v>173</v>
      </c>
    </row>
    <row r="4" spans="1:6" ht="30" customHeight="1">
      <c r="A4" s="12" t="s">
        <v>174</v>
      </c>
      <c r="B4" s="12" t="s">
        <v>175</v>
      </c>
      <c r="C4" s="12" t="s">
        <v>176</v>
      </c>
      <c r="D4" s="12" t="s">
        <v>177</v>
      </c>
      <c r="E4" s="12" t="s">
        <v>178</v>
      </c>
      <c r="F4" s="12" t="s">
        <v>179</v>
      </c>
    </row>
    <row r="5" spans="1:6" ht="25.5">
      <c r="A5" s="4" t="s">
        <v>180</v>
      </c>
      <c r="B5" s="5" t="s">
        <v>181</v>
      </c>
      <c r="C5" s="13" t="s">
        <v>182</v>
      </c>
      <c r="D5" s="17">
        <v>3.49E-2</v>
      </c>
      <c r="E5" s="18">
        <v>0.49</v>
      </c>
      <c r="F5" s="5" t="s">
        <v>183</v>
      </c>
    </row>
    <row r="6" spans="1:6" ht="38.25">
      <c r="A6" s="6" t="s">
        <v>184</v>
      </c>
      <c r="B6" s="7" t="s">
        <v>185</v>
      </c>
      <c r="C6" s="15" t="s">
        <v>186</v>
      </c>
      <c r="D6" s="19">
        <v>2.8899999999999999E-2</v>
      </c>
      <c r="E6" s="20">
        <v>0.28999999999999998</v>
      </c>
      <c r="F6" s="7" t="s">
        <v>187</v>
      </c>
    </row>
    <row r="7" spans="1:6" ht="25.5">
      <c r="A7" s="4" t="s">
        <v>188</v>
      </c>
      <c r="B7" s="5" t="s">
        <v>189</v>
      </c>
      <c r="C7" s="13" t="s">
        <v>182</v>
      </c>
      <c r="D7" s="17">
        <v>2.9899999999999999E-2</v>
      </c>
      <c r="E7" s="18">
        <v>0.49</v>
      </c>
      <c r="F7" s="5" t="s">
        <v>190</v>
      </c>
    </row>
  </sheetData>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25"/>
  <sheetViews>
    <sheetView showGridLines="0" workbookViewId="0">
      <pane ySplit="4" topLeftCell="A18" activePane="bottomLeft" state="frozen"/>
      <selection pane="bottomLeft" activeCell="B28" sqref="B28"/>
    </sheetView>
  </sheetViews>
  <sheetFormatPr defaultRowHeight="15"/>
  <cols>
    <col min="1" max="1" width="24" customWidth="1"/>
    <col min="2" max="2" width="44" customWidth="1"/>
    <col min="3" max="3" width="12" customWidth="1"/>
    <col min="4" max="4" width="14" customWidth="1"/>
    <col min="5" max="5" width="16" customWidth="1"/>
    <col min="6" max="6" width="52" customWidth="1"/>
  </cols>
  <sheetData>
    <row r="1" spans="1:6" ht="20.25">
      <c r="A1" s="1" t="s">
        <v>191</v>
      </c>
    </row>
    <row r="2" spans="1:6">
      <c r="A2" s="2" t="s">
        <v>192</v>
      </c>
    </row>
    <row r="4" spans="1:6" ht="30" customHeight="1">
      <c r="A4" s="12" t="s">
        <v>193</v>
      </c>
      <c r="B4" s="12" t="s">
        <v>194</v>
      </c>
      <c r="C4" s="12" t="s">
        <v>195</v>
      </c>
      <c r="D4" s="12" t="s">
        <v>178</v>
      </c>
      <c r="E4" s="12" t="s">
        <v>196</v>
      </c>
      <c r="F4" s="12" t="s">
        <v>197</v>
      </c>
    </row>
    <row r="5" spans="1:6">
      <c r="A5" s="3" t="s">
        <v>198</v>
      </c>
      <c r="B5" s="3"/>
      <c r="C5" s="3"/>
      <c r="D5" s="3"/>
      <c r="E5" s="3"/>
      <c r="F5" s="3"/>
    </row>
    <row r="6" spans="1:6">
      <c r="A6" s="5" t="s">
        <v>198</v>
      </c>
      <c r="B6" s="5" t="s">
        <v>199</v>
      </c>
      <c r="C6" s="17">
        <v>3.49E-2</v>
      </c>
      <c r="D6" s="18">
        <v>0.49</v>
      </c>
      <c r="E6" s="13" t="s">
        <v>182</v>
      </c>
      <c r="F6" s="5" t="s">
        <v>200</v>
      </c>
    </row>
    <row r="7" spans="1:6">
      <c r="A7" s="7" t="s">
        <v>198</v>
      </c>
      <c r="B7" s="7" t="s">
        <v>134</v>
      </c>
      <c r="C7" s="19">
        <v>2.8899999999999999E-2</v>
      </c>
      <c r="D7" s="20">
        <v>0.28999999999999998</v>
      </c>
      <c r="E7" s="15" t="s">
        <v>182</v>
      </c>
      <c r="F7" s="7" t="s">
        <v>201</v>
      </c>
    </row>
    <row r="8" spans="1:6">
      <c r="A8" s="5" t="s">
        <v>198</v>
      </c>
      <c r="B8" s="5" t="s">
        <v>202</v>
      </c>
      <c r="C8" s="17">
        <v>2.9899999999999999E-2</v>
      </c>
      <c r="D8" s="18">
        <v>0.49</v>
      </c>
      <c r="E8" s="13" t="s">
        <v>203</v>
      </c>
      <c r="F8" s="5" t="s">
        <v>204</v>
      </c>
    </row>
    <row r="9" spans="1:6">
      <c r="A9" s="3" t="s">
        <v>205</v>
      </c>
      <c r="B9" s="3"/>
      <c r="C9" s="3"/>
      <c r="D9" s="3"/>
      <c r="E9" s="3"/>
      <c r="F9" s="3"/>
    </row>
    <row r="10" spans="1:6" ht="25.5">
      <c r="A10" s="5" t="s">
        <v>205</v>
      </c>
      <c r="B10" s="5" t="s">
        <v>206</v>
      </c>
      <c r="C10" s="17">
        <v>1.4999999999999999E-2</v>
      </c>
      <c r="D10" s="18"/>
      <c r="E10" s="13" t="s">
        <v>207</v>
      </c>
      <c r="F10" s="5" t="s">
        <v>208</v>
      </c>
    </row>
    <row r="11" spans="1:6">
      <c r="A11" s="7" t="s">
        <v>205</v>
      </c>
      <c r="B11" s="7" t="s">
        <v>209</v>
      </c>
      <c r="C11" s="19">
        <v>0.04</v>
      </c>
      <c r="D11" s="20"/>
      <c r="E11" s="15" t="s">
        <v>210</v>
      </c>
      <c r="F11" s="7" t="s">
        <v>211</v>
      </c>
    </row>
    <row r="12" spans="1:6">
      <c r="A12" s="3" t="s">
        <v>212</v>
      </c>
      <c r="B12" s="3"/>
      <c r="C12" s="3"/>
      <c r="D12" s="3"/>
      <c r="E12" s="3"/>
      <c r="F12" s="3"/>
    </row>
    <row r="13" spans="1:6">
      <c r="A13" s="5" t="s">
        <v>212</v>
      </c>
      <c r="B13" s="5" t="s">
        <v>213</v>
      </c>
      <c r="C13" s="17"/>
      <c r="D13" s="18">
        <v>15</v>
      </c>
      <c r="E13" s="13" t="s">
        <v>182</v>
      </c>
      <c r="F13" s="5" t="s">
        <v>214</v>
      </c>
    </row>
    <row r="14" spans="1:6">
      <c r="A14" s="7" t="s">
        <v>212</v>
      </c>
      <c r="B14" s="7" t="s">
        <v>215</v>
      </c>
      <c r="C14" s="19"/>
      <c r="D14" s="20">
        <v>30</v>
      </c>
      <c r="E14" s="15" t="s">
        <v>216</v>
      </c>
      <c r="F14" s="7" t="s">
        <v>217</v>
      </c>
    </row>
    <row r="15" spans="1:6">
      <c r="A15" s="5" t="s">
        <v>212</v>
      </c>
      <c r="B15" s="5" t="s">
        <v>218</v>
      </c>
      <c r="C15" s="17"/>
      <c r="D15" s="18">
        <v>20</v>
      </c>
      <c r="E15" s="13" t="s">
        <v>182</v>
      </c>
      <c r="F15" s="5" t="s">
        <v>219</v>
      </c>
    </row>
    <row r="16" spans="1:6" ht="25.5">
      <c r="A16" s="7" t="s">
        <v>212</v>
      </c>
      <c r="B16" s="7" t="s">
        <v>220</v>
      </c>
      <c r="C16" s="19"/>
      <c r="D16" s="20">
        <v>0</v>
      </c>
      <c r="E16" s="15" t="s">
        <v>182</v>
      </c>
      <c r="F16" s="7" t="s">
        <v>221</v>
      </c>
    </row>
    <row r="17" spans="1:6">
      <c r="A17" s="3" t="s">
        <v>222</v>
      </c>
      <c r="B17" s="3"/>
      <c r="C17" s="3"/>
      <c r="D17" s="3"/>
      <c r="E17" s="3"/>
      <c r="F17" s="3"/>
    </row>
    <row r="18" spans="1:6">
      <c r="A18" s="5" t="s">
        <v>222</v>
      </c>
      <c r="B18" s="5" t="s">
        <v>223</v>
      </c>
      <c r="C18" s="17"/>
      <c r="D18" s="18">
        <v>0</v>
      </c>
      <c r="E18" s="13" t="s">
        <v>182</v>
      </c>
      <c r="F18" s="5" t="s">
        <v>224</v>
      </c>
    </row>
    <row r="19" spans="1:6">
      <c r="A19" s="7" t="s">
        <v>222</v>
      </c>
      <c r="B19" s="7" t="s">
        <v>225</v>
      </c>
      <c r="C19" s="19"/>
      <c r="D19" s="20">
        <v>0</v>
      </c>
      <c r="E19" s="15" t="s">
        <v>182</v>
      </c>
      <c r="F19" s="7" t="s">
        <v>226</v>
      </c>
    </row>
    <row r="20" spans="1:6">
      <c r="A20" s="5" t="s">
        <v>222</v>
      </c>
      <c r="B20" s="5" t="s">
        <v>227</v>
      </c>
      <c r="C20" s="17"/>
      <c r="D20" s="18">
        <v>0</v>
      </c>
      <c r="E20" s="13" t="s">
        <v>182</v>
      </c>
      <c r="F20" s="5" t="s">
        <v>228</v>
      </c>
    </row>
    <row r="21" spans="1:6">
      <c r="A21" s="7" t="s">
        <v>222</v>
      </c>
      <c r="B21" s="7" t="s">
        <v>229</v>
      </c>
      <c r="C21" s="19"/>
      <c r="D21" s="20">
        <v>0</v>
      </c>
      <c r="E21" s="15" t="s">
        <v>182</v>
      </c>
      <c r="F21" s="7" t="s">
        <v>224</v>
      </c>
    </row>
    <row r="22" spans="1:6">
      <c r="A22" s="5" t="s">
        <v>222</v>
      </c>
      <c r="B22" s="5" t="s">
        <v>230</v>
      </c>
      <c r="C22" s="17">
        <v>1.4999999999999999E-2</v>
      </c>
      <c r="D22" s="18"/>
      <c r="E22" s="13" t="s">
        <v>231</v>
      </c>
      <c r="F22" s="5" t="s">
        <v>232</v>
      </c>
    </row>
    <row r="23" spans="1:6">
      <c r="A23" s="7" t="s">
        <v>222</v>
      </c>
      <c r="B23" s="7" t="s">
        <v>233</v>
      </c>
      <c r="C23" s="19"/>
      <c r="D23" s="20">
        <v>30</v>
      </c>
      <c r="E23" s="15" t="s">
        <v>210</v>
      </c>
      <c r="F23" s="7" t="s">
        <v>234</v>
      </c>
    </row>
    <row r="24" spans="1:6">
      <c r="A24" s="5" t="s">
        <v>222</v>
      </c>
      <c r="B24" s="5" t="s">
        <v>235</v>
      </c>
      <c r="C24" s="17"/>
      <c r="D24" s="18">
        <v>25</v>
      </c>
      <c r="E24" s="13" t="s">
        <v>210</v>
      </c>
      <c r="F24" s="5" t="s">
        <v>234</v>
      </c>
    </row>
    <row r="25" spans="1:6">
      <c r="A25" s="7" t="s">
        <v>222</v>
      </c>
      <c r="B25" s="7" t="s">
        <v>236</v>
      </c>
      <c r="C25" s="19"/>
      <c r="D25" s="20">
        <v>14.99</v>
      </c>
      <c r="E25" s="15" t="s">
        <v>210</v>
      </c>
      <c r="F25" s="7" t="s">
        <v>234</v>
      </c>
    </row>
  </sheetData>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18"/>
  <sheetViews>
    <sheetView showGridLines="0" topLeftCell="A6" workbookViewId="0">
      <selection activeCell="D7" sqref="D7"/>
    </sheetView>
  </sheetViews>
  <sheetFormatPr defaultRowHeight="15"/>
  <cols>
    <col min="1" max="1" width="42" customWidth="1"/>
    <col min="2" max="5" width="16" customWidth="1"/>
    <col min="6" max="6" width="18" customWidth="1"/>
    <col min="7" max="7" width="16" customWidth="1"/>
  </cols>
  <sheetData>
    <row r="1" spans="1:7" ht="20.25">
      <c r="A1" s="1" t="s">
        <v>237</v>
      </c>
    </row>
    <row r="2" spans="1:7">
      <c r="A2" s="2" t="s">
        <v>238</v>
      </c>
    </row>
    <row r="4" spans="1:7">
      <c r="A4" s="3" t="s">
        <v>239</v>
      </c>
      <c r="B4" s="3"/>
      <c r="C4" s="3"/>
      <c r="D4" s="3"/>
      <c r="E4" s="3"/>
      <c r="F4" s="3"/>
      <c r="G4" s="3"/>
    </row>
    <row r="5" spans="1:7" ht="30" customHeight="1">
      <c r="A5" s="12" t="s">
        <v>240</v>
      </c>
      <c r="B5" s="12" t="s">
        <v>241</v>
      </c>
      <c r="C5" s="12"/>
      <c r="D5" s="12"/>
      <c r="E5" s="12"/>
      <c r="F5" s="12"/>
      <c r="G5" s="12"/>
    </row>
    <row r="6" spans="1:7">
      <c r="A6" s="5" t="s">
        <v>242</v>
      </c>
      <c r="B6" s="21">
        <v>500</v>
      </c>
    </row>
    <row r="7" spans="1:7">
      <c r="A7" s="5" t="s">
        <v>243</v>
      </c>
      <c r="B7" s="21">
        <v>100</v>
      </c>
    </row>
    <row r="9" spans="1:7">
      <c r="A9" s="3" t="s">
        <v>244</v>
      </c>
      <c r="B9" s="3"/>
      <c r="C9" s="3"/>
      <c r="D9" s="3"/>
      <c r="E9" s="3"/>
      <c r="F9" s="3"/>
      <c r="G9" s="3"/>
    </row>
    <row r="10" spans="1:7" ht="30" customHeight="1">
      <c r="A10" s="12" t="s">
        <v>245</v>
      </c>
      <c r="B10" s="12" t="s">
        <v>241</v>
      </c>
      <c r="C10" s="12" t="s">
        <v>195</v>
      </c>
      <c r="D10" s="12" t="s">
        <v>178</v>
      </c>
      <c r="E10" s="12" t="s">
        <v>246</v>
      </c>
      <c r="F10" s="12" t="s">
        <v>247</v>
      </c>
      <c r="G10" s="12" t="s">
        <v>248</v>
      </c>
    </row>
    <row r="11" spans="1:7">
      <c r="A11" s="22" t="s">
        <v>242</v>
      </c>
      <c r="B11" s="23"/>
      <c r="C11" s="23"/>
      <c r="D11" s="23"/>
      <c r="E11" s="23"/>
      <c r="F11" s="23"/>
      <c r="G11" s="23"/>
    </row>
    <row r="12" spans="1:7">
      <c r="A12" s="5" t="s">
        <v>249</v>
      </c>
      <c r="B12" s="24">
        <f>$B$6</f>
        <v>500</v>
      </c>
      <c r="C12" s="25">
        <v>3.49E-2</v>
      </c>
      <c r="D12" s="21">
        <v>0.49</v>
      </c>
      <c r="E12" s="24">
        <f>B12*C12+D12</f>
        <v>17.939999999999998</v>
      </c>
      <c r="F12" s="26">
        <f>B12-E12</f>
        <v>482.06</v>
      </c>
      <c r="G12" s="27">
        <f>IFERROR(E12/B12,0)</f>
        <v>3.5879999999999995E-2</v>
      </c>
    </row>
    <row r="13" spans="1:7">
      <c r="A13" s="5" t="s">
        <v>250</v>
      </c>
      <c r="B13" s="24">
        <f>$B$6</f>
        <v>500</v>
      </c>
      <c r="C13" s="25">
        <v>2.9899999999999999E-2</v>
      </c>
      <c r="D13" s="21">
        <v>0.49</v>
      </c>
      <c r="E13" s="24">
        <f>B13*C13+D13</f>
        <v>15.44</v>
      </c>
      <c r="F13" s="26">
        <f>B13-E13</f>
        <v>484.56</v>
      </c>
      <c r="G13" s="27">
        <f>IFERROR(E13/B13,0)</f>
        <v>3.0879999999999998E-2</v>
      </c>
    </row>
    <row r="14" spans="1:7">
      <c r="A14" s="5" t="s">
        <v>251</v>
      </c>
      <c r="B14" s="24">
        <f>$B$6</f>
        <v>500</v>
      </c>
      <c r="C14" s="25">
        <v>2.8899999999999999E-2</v>
      </c>
      <c r="D14" s="21">
        <v>0.28999999999999998</v>
      </c>
      <c r="E14" s="24">
        <f>B14*C14+D14</f>
        <v>14.739999999999998</v>
      </c>
      <c r="F14" s="26">
        <f>B14-E14</f>
        <v>485.26</v>
      </c>
      <c r="G14" s="27">
        <f>IFERROR(E14/B14,0)</f>
        <v>2.9479999999999996E-2</v>
      </c>
    </row>
    <row r="15" spans="1:7">
      <c r="A15" s="22" t="s">
        <v>243</v>
      </c>
      <c r="B15" s="23"/>
      <c r="C15" s="23"/>
      <c r="D15" s="23"/>
      <c r="E15" s="23"/>
      <c r="F15" s="23"/>
      <c r="G15" s="23"/>
    </row>
    <row r="16" spans="1:7">
      <c r="A16" s="5" t="s">
        <v>249</v>
      </c>
      <c r="B16" s="24">
        <f>$B$7</f>
        <v>100</v>
      </c>
      <c r="C16" s="25">
        <v>3.49E-2</v>
      </c>
      <c r="D16" s="21">
        <v>0.49</v>
      </c>
      <c r="E16" s="24">
        <f>B16*C16+D16</f>
        <v>3.9800000000000004</v>
      </c>
      <c r="F16" s="26">
        <f>B16-E16</f>
        <v>96.02</v>
      </c>
      <c r="G16" s="27">
        <f>IFERROR(E16/B16,0)</f>
        <v>3.9800000000000002E-2</v>
      </c>
    </row>
    <row r="17" spans="1:7">
      <c r="A17" s="5" t="s">
        <v>250</v>
      </c>
      <c r="B17" s="24">
        <f>$B$7</f>
        <v>100</v>
      </c>
      <c r="C17" s="25">
        <v>2.9899999999999999E-2</v>
      </c>
      <c r="D17" s="21">
        <v>0.49</v>
      </c>
      <c r="E17" s="24">
        <f>B17*C17+D17</f>
        <v>3.4799999999999995</v>
      </c>
      <c r="F17" s="26">
        <f>B17-E17</f>
        <v>96.52</v>
      </c>
      <c r="G17" s="27">
        <f>IFERROR(E17/B17,0)</f>
        <v>3.4799999999999998E-2</v>
      </c>
    </row>
    <row r="18" spans="1:7">
      <c r="A18" s="5" t="s">
        <v>251</v>
      </c>
      <c r="B18" s="24">
        <f>$B$7</f>
        <v>100</v>
      </c>
      <c r="C18" s="25">
        <v>2.8899999999999999E-2</v>
      </c>
      <c r="D18" s="21">
        <v>0.28999999999999998</v>
      </c>
      <c r="E18" s="24">
        <f>B18*C18+D18</f>
        <v>3.1799999999999997</v>
      </c>
      <c r="F18" s="26">
        <f>B18-E18</f>
        <v>96.82</v>
      </c>
      <c r="G18" s="27">
        <f>IFERROR(E18/B18,0)</f>
        <v>3.1799999999999995E-2</v>
      </c>
    </row>
  </sheetData>
  <pageMargins left="0.75" right="0.75" top="1" bottom="1" header="0.5" footer="0.5"/>
  <pageSetup fitToHeight="0"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16"/>
  <sheetViews>
    <sheetView showGridLines="0" workbookViewId="0">
      <pane xSplit="1" ySplit="4" topLeftCell="B18" activePane="bottomRight" state="frozen"/>
      <selection pane="bottomRight"/>
      <selection pane="bottomLeft"/>
      <selection pane="topRight"/>
    </sheetView>
  </sheetViews>
  <sheetFormatPr defaultRowHeight="15"/>
  <cols>
    <col min="1" max="1" width="22" customWidth="1"/>
    <col min="2" max="2" width="45" customWidth="1"/>
    <col min="3" max="3" width="40" customWidth="1"/>
    <col min="4" max="4" width="38" customWidth="1"/>
    <col min="5" max="5" width="13" customWidth="1"/>
    <col min="6" max="6" width="55" customWidth="1"/>
  </cols>
  <sheetData>
    <row r="1" spans="1:6" ht="20.25">
      <c r="A1" s="1" t="s">
        <v>252</v>
      </c>
    </row>
    <row r="2" spans="1:6">
      <c r="A2" s="2" t="s">
        <v>253</v>
      </c>
    </row>
    <row r="4" spans="1:6" ht="30" customHeight="1">
      <c r="A4" s="12" t="s">
        <v>216</v>
      </c>
      <c r="B4" s="12" t="s">
        <v>254</v>
      </c>
      <c r="C4" s="12" t="s">
        <v>255</v>
      </c>
      <c r="D4" s="12" t="s">
        <v>256</v>
      </c>
      <c r="E4" s="12" t="s">
        <v>257</v>
      </c>
      <c r="F4" s="12" t="s">
        <v>258</v>
      </c>
    </row>
    <row r="5" spans="1:6" ht="105" customHeight="1">
      <c r="A5" s="4" t="s">
        <v>259</v>
      </c>
      <c r="B5" s="5" t="s">
        <v>260</v>
      </c>
      <c r="C5" s="5" t="s">
        <v>261</v>
      </c>
      <c r="D5" s="5" t="s">
        <v>262</v>
      </c>
      <c r="E5" s="13" t="s">
        <v>263</v>
      </c>
      <c r="F5" s="5" t="s">
        <v>264</v>
      </c>
    </row>
    <row r="6" spans="1:6" ht="105" customHeight="1">
      <c r="A6" s="6" t="s">
        <v>265</v>
      </c>
      <c r="B6" s="7" t="s">
        <v>266</v>
      </c>
      <c r="C6" s="7" t="s">
        <v>267</v>
      </c>
      <c r="D6" s="7" t="s">
        <v>268</v>
      </c>
      <c r="E6" s="15" t="s">
        <v>263</v>
      </c>
      <c r="F6" s="7" t="s">
        <v>269</v>
      </c>
    </row>
    <row r="7" spans="1:6" ht="105" customHeight="1">
      <c r="A7" s="4" t="s">
        <v>270</v>
      </c>
      <c r="B7" s="5" t="s">
        <v>271</v>
      </c>
      <c r="C7" s="5" t="s">
        <v>272</v>
      </c>
      <c r="D7" s="5" t="s">
        <v>273</v>
      </c>
      <c r="E7" s="13" t="s">
        <v>274</v>
      </c>
      <c r="F7" s="5" t="s">
        <v>275</v>
      </c>
    </row>
    <row r="8" spans="1:6" ht="105" customHeight="1">
      <c r="A8" s="6" t="s">
        <v>276</v>
      </c>
      <c r="B8" s="7" t="s">
        <v>277</v>
      </c>
      <c r="C8" s="7" t="s">
        <v>278</v>
      </c>
      <c r="D8" s="7" t="s">
        <v>279</v>
      </c>
      <c r="E8" s="15" t="s">
        <v>280</v>
      </c>
      <c r="F8" s="7" t="s">
        <v>281</v>
      </c>
    </row>
    <row r="9" spans="1:6" ht="105" customHeight="1">
      <c r="A9" s="4" t="s">
        <v>282</v>
      </c>
      <c r="B9" s="5" t="s">
        <v>283</v>
      </c>
      <c r="C9" s="5" t="s">
        <v>284</v>
      </c>
      <c r="D9" s="5" t="s">
        <v>285</v>
      </c>
      <c r="E9" s="13" t="s">
        <v>286</v>
      </c>
      <c r="F9" s="5" t="s">
        <v>287</v>
      </c>
    </row>
    <row r="10" spans="1:6" ht="105" customHeight="1">
      <c r="A10" s="6" t="s">
        <v>288</v>
      </c>
      <c r="B10" s="7" t="s">
        <v>289</v>
      </c>
      <c r="C10" s="7" t="s">
        <v>290</v>
      </c>
      <c r="D10" s="7" t="s">
        <v>291</v>
      </c>
      <c r="E10" s="15" t="s">
        <v>292</v>
      </c>
      <c r="F10" s="7" t="s">
        <v>293</v>
      </c>
    </row>
    <row r="11" spans="1:6" ht="105" customHeight="1">
      <c r="A11" s="4" t="s">
        <v>294</v>
      </c>
      <c r="B11" s="5" t="s">
        <v>295</v>
      </c>
      <c r="C11" s="5" t="s">
        <v>296</v>
      </c>
      <c r="D11" s="5" t="s">
        <v>297</v>
      </c>
      <c r="E11" s="13" t="s">
        <v>298</v>
      </c>
      <c r="F11" s="5" t="s">
        <v>299</v>
      </c>
    </row>
    <row r="13" spans="1:6">
      <c r="A13" s="3" t="s">
        <v>300</v>
      </c>
      <c r="B13" s="3"/>
      <c r="C13" s="3"/>
      <c r="D13" s="3"/>
      <c r="E13" s="3"/>
      <c r="F13" s="3"/>
    </row>
    <row r="14" spans="1:6">
      <c r="A14" s="4" t="s">
        <v>301</v>
      </c>
      <c r="B14" s="31" t="s">
        <v>302</v>
      </c>
      <c r="C14" s="34"/>
      <c r="D14" s="34"/>
      <c r="E14" s="34"/>
      <c r="F14" s="35"/>
    </row>
    <row r="15" spans="1:6">
      <c r="A15" s="6" t="s">
        <v>303</v>
      </c>
      <c r="B15" s="32" t="s">
        <v>304</v>
      </c>
      <c r="C15" s="34"/>
      <c r="D15" s="34"/>
      <c r="E15" s="34"/>
      <c r="F15" s="35"/>
    </row>
    <row r="16" spans="1:6">
      <c r="A16" s="4" t="s">
        <v>305</v>
      </c>
      <c r="B16" s="31" t="s">
        <v>306</v>
      </c>
      <c r="C16" s="34"/>
      <c r="D16" s="34"/>
      <c r="E16" s="34"/>
      <c r="F16" s="35"/>
    </row>
  </sheetData>
  <mergeCells count="3">
    <mergeCell ref="B16:F16"/>
    <mergeCell ref="B15:F15"/>
    <mergeCell ref="B14:F14"/>
  </mergeCells>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14"/>
  <sheetViews>
    <sheetView showGridLines="0" workbookViewId="0">
      <pane ySplit="4" topLeftCell="A5" activePane="bottomLeft" state="frozen"/>
      <selection pane="bottomLeft"/>
    </sheetView>
  </sheetViews>
  <sheetFormatPr defaultRowHeight="15"/>
  <cols>
    <col min="1" max="1" width="6" customWidth="1"/>
    <col min="2" max="2" width="48" customWidth="1"/>
    <col min="3" max="3" width="22" customWidth="1"/>
    <col min="4" max="4" width="20" customWidth="1"/>
    <col min="5" max="5" width="30" customWidth="1"/>
    <col min="6" max="6" width="15" customWidth="1"/>
  </cols>
  <sheetData>
    <row r="1" spans="1:6" ht="20.25">
      <c r="A1" s="1" t="s">
        <v>307</v>
      </c>
    </row>
    <row r="2" spans="1:6">
      <c r="A2" s="2" t="s">
        <v>308</v>
      </c>
    </row>
    <row r="4" spans="1:6" ht="30" customHeight="1">
      <c r="A4" s="12" t="s">
        <v>43</v>
      </c>
      <c r="B4" s="12" t="s">
        <v>309</v>
      </c>
      <c r="C4" s="12" t="s">
        <v>310</v>
      </c>
      <c r="D4" s="12" t="s">
        <v>311</v>
      </c>
      <c r="E4" s="12" t="s">
        <v>312</v>
      </c>
      <c r="F4" s="12" t="s">
        <v>313</v>
      </c>
    </row>
    <row r="5" spans="1:6" ht="25.5">
      <c r="A5" s="13">
        <v>1</v>
      </c>
      <c r="B5" s="5" t="s">
        <v>314</v>
      </c>
      <c r="C5" s="5" t="s">
        <v>54</v>
      </c>
      <c r="D5" s="5" t="s">
        <v>315</v>
      </c>
      <c r="E5" s="5" t="s">
        <v>316</v>
      </c>
      <c r="F5" s="14" t="s">
        <v>317</v>
      </c>
    </row>
    <row r="6" spans="1:6">
      <c r="A6" s="15">
        <v>2</v>
      </c>
      <c r="B6" s="7" t="s">
        <v>318</v>
      </c>
      <c r="C6" s="7" t="s">
        <v>54</v>
      </c>
      <c r="D6" s="7" t="s">
        <v>319</v>
      </c>
      <c r="E6" s="7" t="s">
        <v>320</v>
      </c>
      <c r="F6" s="16" t="s">
        <v>317</v>
      </c>
    </row>
    <row r="7" spans="1:6" ht="25.5">
      <c r="A7" s="13">
        <v>3</v>
      </c>
      <c r="B7" s="5" t="s">
        <v>321</v>
      </c>
      <c r="C7" s="5" t="s">
        <v>322</v>
      </c>
      <c r="D7" s="5" t="s">
        <v>323</v>
      </c>
      <c r="E7" s="5" t="s">
        <v>272</v>
      </c>
      <c r="F7" s="14" t="s">
        <v>317</v>
      </c>
    </row>
    <row r="8" spans="1:6" ht="25.5">
      <c r="A8" s="15">
        <v>4</v>
      </c>
      <c r="B8" s="7" t="s">
        <v>324</v>
      </c>
      <c r="C8" s="7" t="s">
        <v>54</v>
      </c>
      <c r="D8" s="7" t="s">
        <v>325</v>
      </c>
      <c r="E8" s="7" t="s">
        <v>320</v>
      </c>
      <c r="F8" s="16" t="s">
        <v>317</v>
      </c>
    </row>
    <row r="9" spans="1:6" ht="38.25">
      <c r="A9" s="13">
        <v>5</v>
      </c>
      <c r="B9" s="5" t="s">
        <v>326</v>
      </c>
      <c r="C9" s="5" t="s">
        <v>129</v>
      </c>
      <c r="D9" s="5" t="s">
        <v>327</v>
      </c>
      <c r="E9" s="5" t="s">
        <v>328</v>
      </c>
      <c r="F9" s="14" t="s">
        <v>317</v>
      </c>
    </row>
    <row r="10" spans="1:6" ht="25.5">
      <c r="A10" s="15">
        <v>6</v>
      </c>
      <c r="B10" s="7" t="s">
        <v>329</v>
      </c>
      <c r="C10" s="7" t="s">
        <v>117</v>
      </c>
      <c r="D10" s="7" t="s">
        <v>330</v>
      </c>
      <c r="E10" s="7" t="s">
        <v>331</v>
      </c>
      <c r="F10" s="16" t="s">
        <v>317</v>
      </c>
    </row>
    <row r="11" spans="1:6" ht="25.5">
      <c r="A11" s="13">
        <v>7</v>
      </c>
      <c r="B11" s="5" t="s">
        <v>332</v>
      </c>
      <c r="C11" s="5" t="s">
        <v>54</v>
      </c>
      <c r="D11" s="5" t="s">
        <v>333</v>
      </c>
      <c r="E11" s="5" t="s">
        <v>334</v>
      </c>
      <c r="F11" s="14" t="s">
        <v>317</v>
      </c>
    </row>
    <row r="12" spans="1:6" ht="25.5">
      <c r="A12" s="15">
        <v>8</v>
      </c>
      <c r="B12" s="7" t="s">
        <v>335</v>
      </c>
      <c r="C12" s="7" t="s">
        <v>54</v>
      </c>
      <c r="D12" s="7" t="s">
        <v>325</v>
      </c>
      <c r="E12" s="7" t="s">
        <v>320</v>
      </c>
      <c r="F12" s="16" t="s">
        <v>317</v>
      </c>
    </row>
    <row r="13" spans="1:6" ht="25.5">
      <c r="A13" s="13">
        <v>9</v>
      </c>
      <c r="B13" s="5" t="s">
        <v>336</v>
      </c>
      <c r="C13" s="5" t="s">
        <v>84</v>
      </c>
      <c r="D13" s="5" t="s">
        <v>337</v>
      </c>
      <c r="E13" s="5" t="s">
        <v>338</v>
      </c>
      <c r="F13" s="14" t="s">
        <v>317</v>
      </c>
    </row>
    <row r="14" spans="1:6" ht="25.5">
      <c r="A14" s="15">
        <v>10</v>
      </c>
      <c r="B14" s="7" t="s">
        <v>339</v>
      </c>
      <c r="C14" s="7" t="s">
        <v>84</v>
      </c>
      <c r="D14" s="7" t="s">
        <v>340</v>
      </c>
      <c r="E14" s="7" t="s">
        <v>341</v>
      </c>
      <c r="F14" s="16" t="s">
        <v>317</v>
      </c>
    </row>
  </sheetData>
  <dataValidations count="1">
    <dataValidation type="list" allowBlank="1" sqref="F5:F14" xr:uid="{00000000-0002-0000-0600-000000000000}">
      <formula1>"Not started,In progress,Done,Not applicable"</formula1>
    </dataValidation>
  </dataValidations>
  <pageMargins left="0.75" right="0.75" top="1" bottom="1" header="0.5" footer="0.5"/>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B10"/>
  <sheetViews>
    <sheetView showGridLines="0" workbookViewId="0"/>
  </sheetViews>
  <sheetFormatPr defaultRowHeight="15"/>
  <cols>
    <col min="1" max="1" width="52" customWidth="1"/>
    <col min="2" max="2" width="95" customWidth="1"/>
  </cols>
  <sheetData>
    <row r="1" spans="1:2" ht="20.25">
      <c r="A1" s="1" t="s">
        <v>31</v>
      </c>
    </row>
    <row r="2" spans="1:2">
      <c r="A2" s="2" t="s">
        <v>342</v>
      </c>
    </row>
    <row r="4" spans="1:2" ht="30" customHeight="1">
      <c r="A4" s="12" t="s">
        <v>343</v>
      </c>
      <c r="B4" s="12" t="s">
        <v>344</v>
      </c>
    </row>
    <row r="5" spans="1:2" ht="25.5">
      <c r="A5" s="5" t="s">
        <v>345</v>
      </c>
      <c r="B5" s="28" t="s">
        <v>346</v>
      </c>
    </row>
    <row r="6" spans="1:2">
      <c r="A6" s="7" t="s">
        <v>347</v>
      </c>
      <c r="B6" s="29" t="s">
        <v>348</v>
      </c>
    </row>
    <row r="7" spans="1:2" ht="25.5">
      <c r="A7" s="5" t="s">
        <v>349</v>
      </c>
      <c r="B7" s="28" t="s">
        <v>350</v>
      </c>
    </row>
    <row r="8" spans="1:2">
      <c r="A8" s="7" t="s">
        <v>351</v>
      </c>
      <c r="B8" s="29" t="s">
        <v>352</v>
      </c>
    </row>
    <row r="9" spans="1:2">
      <c r="A9" s="5" t="s">
        <v>353</v>
      </c>
      <c r="B9" s="28" t="s">
        <v>354</v>
      </c>
    </row>
    <row r="10" spans="1:2">
      <c r="A10" s="7" t="s">
        <v>355</v>
      </c>
      <c r="B10" s="7" t="s">
        <v>356</v>
      </c>
    </row>
  </sheetData>
  <hyperlinks>
    <hyperlink ref="B5" r:id="rId1" xr:uid="{00000000-0004-0000-0700-000000000000}"/>
    <hyperlink ref="B6" r:id="rId2" xr:uid="{00000000-0004-0000-0700-000001000000}"/>
    <hyperlink ref="B7" r:id="rId3" xr:uid="{00000000-0004-0000-0700-000002000000}"/>
    <hyperlink ref="B8" r:id="rId4" xr:uid="{00000000-0004-0000-0700-000003000000}"/>
    <hyperlink ref="B9" r:id="rId5" xr:uid="{00000000-0004-0000-0700-000004000000}"/>
  </hyperlinks>
  <pageMargins left="0.75" right="0.75" top="1" bottom="1" header="0.5" footer="0.5"/>
  <pageSetup fitToHeight="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B7080D29EBA4141B960512B6DAB9505" ma:contentTypeVersion="9" ma:contentTypeDescription="Create a new document." ma:contentTypeScope="" ma:versionID="1b18e486988b1deb86f344a84255fb19">
  <xsd:schema xmlns:xsd="http://www.w3.org/2001/XMLSchema" xmlns:xs="http://www.w3.org/2001/XMLSchema" xmlns:p="http://schemas.microsoft.com/office/2006/metadata/properties" xmlns:ns3="a115a210-6ea9-4ff7-b3a3-c6ae9dc97e65" targetNamespace="http://schemas.microsoft.com/office/2006/metadata/properties" ma:root="true" ma:fieldsID="c2dbae88e2c3a152a40d4128ea3427ea" ns3:_="">
    <xsd:import namespace="a115a210-6ea9-4ff7-b3a3-c6ae9dc97e65"/>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15a210-6ea9-4ff7-b3a3-c6ae9dc97e65"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a115a210-6ea9-4ff7-b3a3-c6ae9dc97e65" xsi:nil="true"/>
  </documentManagement>
</p:properties>
</file>

<file path=customXml/itemProps1.xml><?xml version="1.0" encoding="utf-8"?>
<ds:datastoreItem xmlns:ds="http://schemas.openxmlformats.org/officeDocument/2006/customXml" ds:itemID="{C45E5BD8-5146-4194-A8DF-4B6D9CF1802E}"/>
</file>

<file path=customXml/itemProps2.xml><?xml version="1.0" encoding="utf-8"?>
<ds:datastoreItem xmlns:ds="http://schemas.openxmlformats.org/officeDocument/2006/customXml" ds:itemID="{4225191E-EBA5-4604-AC67-29E799923ED2}"/>
</file>

<file path=customXml/itemProps3.xml><?xml version="1.0" encoding="utf-8"?>
<ds:datastoreItem xmlns:ds="http://schemas.openxmlformats.org/officeDocument/2006/customXml" ds:itemID="{9389D1A1-6962-4AF6-957A-3D7B8D80080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Syed Thameemuddin</cp:lastModifiedBy>
  <cp:revision/>
  <dcterms:created xsi:type="dcterms:W3CDTF">2026-10-13T11:22:53Z</dcterms:created>
  <dcterms:modified xsi:type="dcterms:W3CDTF">2026-10-16T13:15:29Z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0x010100EB7080D29EBA4141B960512B6DAB9505</vt:lpwstr>
  </property>
</Properties>
</file>